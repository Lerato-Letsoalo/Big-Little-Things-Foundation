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F1EE58B82A0918E/Documents/"/>
    </mc:Choice>
  </mc:AlternateContent>
  <xr:revisionPtr revIDLastSave="336" documentId="8_{C685295C-EBB8-4EB7-9C60-6E8A1104FEB5}" xr6:coauthVersionLast="47" xr6:coauthVersionMax="47" xr10:uidLastSave="{17B04C40-E485-4897-AAF1-CC6666AC31F6}"/>
  <bookViews>
    <workbookView xWindow="-108" yWindow="-108" windowWidth="23256" windowHeight="12456" tabRatio="500" xr2:uid="{00000000-000D-0000-FFFF-FFFF00000000}"/>
  </bookViews>
  <sheets>
    <sheet name="Instructions" sheetId="1" r:id="rId1"/>
    <sheet name="Results Summary" sheetId="2" r:id="rId2"/>
    <sheet name="Iteration 1 Unit" sheetId="3" r:id="rId3"/>
    <sheet name="Iteration 1 Usability" sheetId="4" r:id="rId4"/>
    <sheet name="Iteration 2 Unit" sheetId="5" r:id="rId5"/>
    <sheet name="Iteration 2 Usability" sheetId="6" r:id="rId6"/>
    <sheet name="Iteration 3 Unit" sheetId="7" r:id="rId7"/>
    <sheet name="Iteration 3 Usability" sheetId="8" r:id="rId8"/>
    <sheet name="System Test - Functionality" sheetId="9" r:id="rId9"/>
    <sheet name="System Test - Performance" sheetId="10" r:id="rId10"/>
    <sheet name="System Test - Usability"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2" l="1"/>
  <c r="D13" i="2"/>
  <c r="C13" i="2"/>
  <c r="B13" i="2"/>
  <c r="E12" i="2"/>
  <c r="D12" i="2"/>
  <c r="C12" i="2"/>
  <c r="F12" i="2" s="1"/>
  <c r="B12" i="2"/>
  <c r="E11" i="2"/>
  <c r="D11" i="2"/>
  <c r="C11" i="2"/>
  <c r="F11" i="2" s="1"/>
  <c r="B11" i="2"/>
  <c r="E10" i="2"/>
  <c r="D10" i="2"/>
  <c r="C10" i="2"/>
  <c r="F10" i="2" s="1"/>
  <c r="B10" i="2"/>
  <c r="E9" i="2"/>
  <c r="D9" i="2"/>
  <c r="C9" i="2"/>
  <c r="F9" i="2" s="1"/>
  <c r="B9" i="2"/>
  <c r="E8" i="2"/>
  <c r="D8" i="2"/>
  <c r="C8" i="2"/>
  <c r="F8" i="2" s="1"/>
  <c r="B8" i="2"/>
  <c r="E7" i="2"/>
  <c r="D7" i="2"/>
  <c r="C7" i="2"/>
  <c r="B7" i="2"/>
  <c r="E6" i="2"/>
  <c r="D6" i="2"/>
  <c r="C6" i="2"/>
  <c r="F6" i="2" s="1"/>
  <c r="B6" i="2"/>
  <c r="E5" i="2"/>
  <c r="D5" i="2"/>
  <c r="C5" i="2"/>
  <c r="B5" i="2"/>
  <c r="F13" i="2" l="1"/>
  <c r="F7" i="2"/>
  <c r="C14" i="2"/>
  <c r="F14" i="2" s="1"/>
  <c r="D14" i="2"/>
  <c r="E14" i="2"/>
  <c r="B14" i="2"/>
  <c r="F5" i="2"/>
</calcChain>
</file>

<file path=xl/sharedStrings.xml><?xml version="1.0" encoding="utf-8"?>
<sst xmlns="http://schemas.openxmlformats.org/spreadsheetml/2006/main" count="787" uniqueCount="386">
  <si>
    <t>ISDP371 – Assignment 4: Test Case Register</t>
  </si>
  <si>
    <t>Digital Innovators – Big Little Things Foundation Volunteer and Donations Management System</t>
  </si>
  <si>
    <t>How to use this workbook:</t>
  </si>
  <si>
    <t>1. This workbook contains one sheet per test type, matching the Test Plan (T1–T7): 'Iteration 1 Unit', 'Iteration 1 Usability', 'Iteration 2 Unit', 'Iteration 2 Usability', 'Iteration 3 Unit', 'Iteration 3 Usability', and three System Test sheets ('System Test - Functionality', 'System Test - Performance', 'System Test - Usability').</t>
  </si>
  <si>
    <t>4. Fill in the yellow 'to complete' columns after testing: Actual Result, Pass/Fail, Tested By, Date Tested and Comments. The Result column has a dropdown (Pass / Fail / Not Tested).</t>
  </si>
  <si>
    <t>6. Keep this file in the project GitHub repository (e.g. /testing/) so results are version-controlled alongside the code.</t>
  </si>
  <si>
    <t>Overall Test Results Summary</t>
  </si>
  <si>
    <t>Auto-fill after each sheet is completed</t>
  </si>
  <si>
    <t>Test sheet</t>
  </si>
  <si>
    <t>Total cases</t>
  </si>
  <si>
    <t>Passed</t>
  </si>
  <si>
    <t>Failed</t>
  </si>
  <si>
    <t>Not tested</t>
  </si>
  <si>
    <t>Pass rate</t>
  </si>
  <si>
    <t>Iteration 1 Unit</t>
  </si>
  <si>
    <t>Iteration 1 Usability</t>
  </si>
  <si>
    <t>Iteration 2 Unit</t>
  </si>
  <si>
    <t>Iteration 2 Usability</t>
  </si>
  <si>
    <t>Iteration 3 Unit</t>
  </si>
  <si>
    <t>Iteration 3 Usability</t>
  </si>
  <si>
    <t>System Test - Functionality</t>
  </si>
  <si>
    <t>System Test - Performance</t>
  </si>
  <si>
    <t>System Test - Usability</t>
  </si>
  <si>
    <t>TOTAL</t>
  </si>
  <si>
    <t>Note: totals update automatically from the Result column on each sheet as you fill in Pass/Fail/Not Tested for each test case.</t>
  </si>
  <si>
    <t>Test Case ID</t>
  </si>
  <si>
    <t>Requirement ref. (FR/NFR)</t>
  </si>
  <si>
    <t>Test description</t>
  </si>
  <si>
    <t>Preconditions</t>
  </si>
  <si>
    <t>Test steps</t>
  </si>
  <si>
    <t>Test data</t>
  </si>
  <si>
    <t>Expected result</t>
  </si>
  <si>
    <t>Actual result</t>
  </si>
  <si>
    <t>Result</t>
  </si>
  <si>
    <t>Tested by</t>
  </si>
  <si>
    <t>Date tested</t>
  </si>
  <si>
    <t>Comments / defect ref.</t>
  </si>
  <si>
    <t>T1-UT-01</t>
  </si>
  <si>
    <t>FR1</t>
  </si>
  <si>
    <t>Register with valid volunteer details</t>
  </si>
  <si>
    <t>Registration form is accessible</t>
  </si>
  <si>
    <t>1. Open registration form
2. Enter valid name, email, city, phone
3. Submit form</t>
  </si>
  <si>
    <t>Volunteer account is created and a confirmation is shown</t>
  </si>
  <si>
    <t>T1-UT-02</t>
  </si>
  <si>
    <t>Register with missing required field</t>
  </si>
  <si>
    <t>1. Open registration form
2. Leave email blank
3. Submit form</t>
  </si>
  <si>
    <t>Form displays a validation error and does not submit</t>
  </si>
  <si>
    <t>T1-UT-03</t>
  </si>
  <si>
    <t>Register with invalid email format</t>
  </si>
  <si>
    <t>1. Open registration form
2. Enter 'notanemail' as email
3. Submit form</t>
  </si>
  <si>
    <t>Email: notanemail</t>
  </si>
  <si>
    <t>Form displays an invalid-email validation error</t>
  </si>
  <si>
    <t>T1-UT-04</t>
  </si>
  <si>
    <t>FR2 / NFR1</t>
  </si>
  <si>
    <t>Login with correct credentials</t>
  </si>
  <si>
    <t>Volunteer account already exists</t>
  </si>
  <si>
    <t>1. Open login page
2. Enter registered email and correct password
3. Submit</t>
  </si>
  <si>
    <t>Email: jane@test.com
Password: &lt;valid&gt;</t>
  </si>
  <si>
    <t>User is authenticated and redirected to the volunteer dashboard</t>
  </si>
  <si>
    <t>T1-UT-05</t>
  </si>
  <si>
    <t>Login with incorrect password</t>
  </si>
  <si>
    <t>1. Open login page
2. Enter registered email with wrong password
3. Submit</t>
  </si>
  <si>
    <t>Email: jane@test.com
Password: wrongpass</t>
  </si>
  <si>
    <t>Login is rejected with an appropriate error message; account is not accessed</t>
  </si>
  <si>
    <t>Heuristic (Nielsen)</t>
  </si>
  <si>
    <t>Screen / Task evaluated</t>
  </si>
  <si>
    <t>What was checked</t>
  </si>
  <si>
    <t>Expected outcome</t>
  </si>
  <si>
    <t>Actual observation</t>
  </si>
  <si>
    <t>Comments / issue severity</t>
  </si>
  <si>
    <t>T1-UX-01</t>
  </si>
  <si>
    <t>1. Visibility of system status</t>
  </si>
  <si>
    <t>Public website (Home / About Us / Projects / Volunteer)</t>
  </si>
  <si>
    <t>T1-UX-02</t>
  </si>
  <si>
    <t>2. Match between system and real world</t>
  </si>
  <si>
    <t>T1-UX-03</t>
  </si>
  <si>
    <t>3. User control and freedom</t>
  </si>
  <si>
    <t>T1-UX-04</t>
  </si>
  <si>
    <t>4. Consistency and standards</t>
  </si>
  <si>
    <t>T1-UX-05</t>
  </si>
  <si>
    <t>5. Error prevention</t>
  </si>
  <si>
    <t>T1-UX-06</t>
  </si>
  <si>
    <t>6. Recognition rather than recall</t>
  </si>
  <si>
    <t>T1-UX-07</t>
  </si>
  <si>
    <t>7. Flexibility and efficiency of use</t>
  </si>
  <si>
    <t>T1-UX-08</t>
  </si>
  <si>
    <t>8. Aesthetic and minimalist design</t>
  </si>
  <si>
    <t>T1-UX-09</t>
  </si>
  <si>
    <t>9. Help users recognise, diagnose and recover from errors</t>
  </si>
  <si>
    <t>T1-UX-10</t>
  </si>
  <si>
    <t>10. Help and documentation</t>
  </si>
  <si>
    <t>T2-UT-01</t>
  </si>
  <si>
    <t>FR4</t>
  </si>
  <si>
    <t>Log hours for an attended event</t>
  </si>
  <si>
    <t>Volunteer is logged in and registered for an event</t>
  </si>
  <si>
    <t>1. Open 'Log Hours'
2. Select event
3. Enter hours
4. Submit</t>
  </si>
  <si>
    <t>Event: Community Food Drive
Hours: 3</t>
  </si>
  <si>
    <t>T2-UT-02</t>
  </si>
  <si>
    <t>Log hours with an invalid (negative) value</t>
  </si>
  <si>
    <t>Volunteer is logged in</t>
  </si>
  <si>
    <t>1. Open 'Log Hours'
2. Enter -2 as hours
3. Submit</t>
  </si>
  <si>
    <t>Hours: -2</t>
  </si>
  <si>
    <t>T2-UT-03</t>
  </si>
  <si>
    <t>FR8</t>
  </si>
  <si>
    <t>Capture a monetary donation</t>
  </si>
  <si>
    <t>Admin/donor is on the donation form</t>
  </si>
  <si>
    <t>T2-UT-04</t>
  </si>
  <si>
    <t>Capture a physical donation</t>
  </si>
  <si>
    <t>Admin is logged into admin portal</t>
  </si>
  <si>
    <t>Item: Blankets
Qty: 20</t>
  </si>
  <si>
    <t>Physical donation is recorded and reflected in donation totals</t>
  </si>
  <si>
    <t>T2-UT-05</t>
  </si>
  <si>
    <t>FR11</t>
  </si>
  <si>
    <t>Donation total updates within 5 seconds of entry</t>
  </si>
  <si>
    <t>A donation has just been submitted</t>
  </si>
  <si>
    <t>1. Submit a new donation
2. Observe the donation summary/report screen</t>
  </si>
  <si>
    <t>Amount: R250</t>
  </si>
  <si>
    <t>Updated total is reflected on the summary/report within 5 seconds</t>
  </si>
  <si>
    <t>T2-UX-01</t>
  </si>
  <si>
    <t>Volunteer dashboard &amp; donation/payment flow</t>
  </si>
  <si>
    <t>T2-UX-02</t>
  </si>
  <si>
    <t>T2-UX-03</t>
  </si>
  <si>
    <t>T2-UX-04</t>
  </si>
  <si>
    <t>T2-UX-05</t>
  </si>
  <si>
    <t>T2-UX-06</t>
  </si>
  <si>
    <t>T2-UX-07</t>
  </si>
  <si>
    <t>T2-UX-08</t>
  </si>
  <si>
    <t>T2-UX-09</t>
  </si>
  <si>
    <t>T2-UX-10</t>
  </si>
  <si>
    <t>T3-UT-01</t>
  </si>
  <si>
    <t>FR5</t>
  </si>
  <si>
    <t>Generate certificate after admin approves hours</t>
  </si>
  <si>
    <t>Volunteer has pending hours awaiting approval</t>
  </si>
  <si>
    <t>1. Admin opens pending hours
2. Approves the hours
3. Volunteer opens 'My Certificates'</t>
  </si>
  <si>
    <t>A downloadable certificate with correct name, hours and date is available</t>
  </si>
  <si>
    <t>T3-UT-02</t>
  </si>
  <si>
    <t>Certificate is not generated for rejected hours</t>
  </si>
  <si>
    <t>1. Admin rejects the submitted hours with a reason
2. Volunteer checks certificates list</t>
  </si>
  <si>
    <t>Hours rejected with reason 'Insufficient evidence'</t>
  </si>
  <si>
    <t>No certificate is generated; volunteer is notified of the rejection and reason</t>
  </si>
  <si>
    <t>T3-UT-03</t>
  </si>
  <si>
    <t>FR10</t>
  </si>
  <si>
    <t>Volunteer hours report totals are correct per city/project</t>
  </si>
  <si>
    <t>Seeded volunteer hour data exists across cities</t>
  </si>
  <si>
    <t>1. Open admin reporting dashboard
2. Filter by city/project
3. Compare displayed totals to seeded data</t>
  </si>
  <si>
    <t>Seeded total: 42 hours (Pretoria)</t>
  </si>
  <si>
    <t>Dashboard total matches the seeded data exactly</t>
  </si>
  <si>
    <t>T3-UT-04</t>
  </si>
  <si>
    <t>Donation report totals are correct per city/date range</t>
  </si>
  <si>
    <t>Seeded donation data exists</t>
  </si>
  <si>
    <t>1. Open donation report
2. Filter by date range and city
3. Compare totals</t>
  </si>
  <si>
    <t>Seeded total: R12,500 (Sept 2026, Pretoria)</t>
  </si>
  <si>
    <t>Report total matches the seeded data exactly</t>
  </si>
  <si>
    <t>T3-UT-05</t>
  </si>
  <si>
    <t>NFR3</t>
  </si>
  <si>
    <t>Dashboard loads within acceptable time</t>
  </si>
  <si>
    <t>Admin is logged in</t>
  </si>
  <si>
    <t>1. Navigate to admin dashboard
2. Measure load time</t>
  </si>
  <si>
    <t>N/A</t>
  </si>
  <si>
    <t>Dashboard loads within 5 seconds on a standard broadband connection</t>
  </si>
  <si>
    <t>T3-UX-01</t>
  </si>
  <si>
    <t>Admin dashboard (volunteers, donations, approvals)</t>
  </si>
  <si>
    <t>T3-UX-02</t>
  </si>
  <si>
    <t>T3-UX-03</t>
  </si>
  <si>
    <t>T3-UX-04</t>
  </si>
  <si>
    <t>T3-UX-05</t>
  </si>
  <si>
    <t>T3-UX-06</t>
  </si>
  <si>
    <t>T3-UX-07</t>
  </si>
  <si>
    <t>T3-UX-08</t>
  </si>
  <si>
    <t>T3-UX-09</t>
  </si>
  <si>
    <t>T3-UX-10</t>
  </si>
  <si>
    <t>ST-FN-01</t>
  </si>
  <si>
    <t>FR1–FR17</t>
  </si>
  <si>
    <t>End-to-end: public user registers, donates and submits enquiry</t>
  </si>
  <si>
    <t>Public website is live</t>
  </si>
  <si>
    <t>1. Visit public website
2. Register as volunteer
3. Make a donation
4. Submit contact enquiry</t>
  </si>
  <si>
    <t>All three actions complete successfully and are reflected in the admin portal</t>
  </si>
  <si>
    <t>ST-FN-02</t>
  </si>
  <si>
    <t>End-to-end: volunteer logs hours and receives certificate</t>
  </si>
  <si>
    <t>Volunteer account exists</t>
  </si>
  <si>
    <t>1. Log in as volunteer
2. Sign up for a drive
3. Log hours
4. Admin approves
5. Download certificate</t>
  </si>
  <si>
    <t>Certificate is generated and downloadable after admin approval</t>
  </si>
  <si>
    <t>ST-FN-03</t>
  </si>
  <si>
    <t>End-to-end: admin manages content and generates reports</t>
  </si>
  <si>
    <t>Admin account exists</t>
  </si>
  <si>
    <t>1. Log in as admin
2. Create/update a project
3. Upload gallery image
4. Generate a report</t>
  </si>
  <si>
    <t>Content updates are published; report reflects accurate, current data</t>
  </si>
  <si>
    <t>ST-FN-04</t>
  </si>
  <si>
    <t>NFR1</t>
  </si>
  <si>
    <t>Role-based access is enforced across the system</t>
  </si>
  <si>
    <t>Accounts for all 3 roles exist</t>
  </si>
  <si>
    <t>1. Attempt to access admin URLs as a public user
2. Attempt to access admin URLs as a volunteer</t>
  </si>
  <si>
    <t>Access is denied for unauthorised roles in both cases</t>
  </si>
  <si>
    <t>ST-PF-01</t>
  </si>
  <si>
    <t>Public website page load time</t>
  </si>
  <si>
    <t>Standard broadband connection</t>
  </si>
  <si>
    <t>1. Load Home page
2. Load Projects page
3. Measure load time for each</t>
  </si>
  <si>
    <t>Each page loads within 3 seconds</t>
  </si>
  <si>
    <t>ST-PF-02</t>
  </si>
  <si>
    <t>Admin dashboard load time</t>
  </si>
  <si>
    <t>Admin logged in</t>
  </si>
  <si>
    <t>1. Navigate to dashboard
2. Measure load time</t>
  </si>
  <si>
    <t>Dashboard loads within 5 seconds</t>
  </si>
  <si>
    <t>ST-PF-03</t>
  </si>
  <si>
    <t>NFR6</t>
  </si>
  <si>
    <t>System availability during testing window</t>
  </si>
  <si>
    <t>System is deployed</t>
  </si>
  <si>
    <t>1. Access system at random intervals over the testing period
2. Log any downtime</t>
  </si>
  <si>
    <t>At least 99% availability recorded, excluding planned maintenance</t>
  </si>
  <si>
    <t>ST-PF-04</t>
  </si>
  <si>
    <t>URD Goal</t>
  </si>
  <si>
    <t>Donation record updates within 5 seconds</t>
  </si>
  <si>
    <t>Donation form accessible</t>
  </si>
  <si>
    <t>1. Submit a donation
2. Time how long until it appears in reports</t>
  </si>
  <si>
    <t>Record appears in reports within 5 seconds</t>
  </si>
  <si>
    <t>ST-UX-01</t>
  </si>
  <si>
    <t>Full system (public website + volunteer portal + admin portal)</t>
  </si>
  <si>
    <t>ST-UX-02</t>
  </si>
  <si>
    <t>ST-UX-03</t>
  </si>
  <si>
    <t>ST-UX-04</t>
  </si>
  <si>
    <t>ST-UX-05</t>
  </si>
  <si>
    <t>ST-UX-06</t>
  </si>
  <si>
    <t>ST-UX-07</t>
  </si>
  <si>
    <t>ST-UX-08</t>
  </si>
  <si>
    <t>ST-UX-09</t>
  </si>
  <si>
    <t>ST-UX-10</t>
  </si>
  <si>
    <t>2. Each Unit Test and System Test - Functionality/Performance sheet uses a Test Case ID format like T1-UT-01, T2-UT-01, T3-UT-01 or ST-FN-01 / ST-PF-01.</t>
  </si>
  <si>
    <t xml:space="preserve">3. Each Usability sheet is pre-populated with Nielsen's 10 heuristics as the starting test cases (IDs T1-UX-01 to T1-UX-10, etc.) </t>
  </si>
  <si>
    <t>5. Once a sheet is complete, copy the summary counts (total, pass, fail) into the matching sub-section of Section 2 (Test Results) in the Assignment 4 report.</t>
  </si>
  <si>
    <t>Unit Test – Volunteer Registration &amp; Authentication (FR1, FR2, NFR1) | Planned date: 26 Aug 2026 | Tester: Tebogo Mosoma</t>
  </si>
  <si>
    <t>Usability Test – Public Website (Home, About Us, Projects, Volunteer pages) | Planned date: 26 Aug 2026 | Tester: Unathi Masemola</t>
  </si>
  <si>
    <t>Unit Test – Volunteer Hour Logging &amp; Donation Capture (FR4, FR8, FR11) | Planned date: 2 Sept 2026 | Tester: Lerato Letsoalo</t>
  </si>
  <si>
    <t>Usability Test – Volunteer Dashboard &amp; Donation/Payment Flow | Planned date: 2 Sept 2026 | Tester: Benjamin Mulamba</t>
  </si>
  <si>
    <t>Unit Test – Certificate Generation &amp; Reporting Dashboard (FR5, FR10, FR11, NFR3) | Planned date: 9 Sept 2026 | Tester: Benjamin &amp; Tebogo</t>
  </si>
  <si>
    <t>Usability Test – Admin Dashboard | Planned date: 9 Sept 2026 | Tester: Unathi Maesemola</t>
  </si>
  <si>
    <t>System Test – Full Integrated System, Functionality (FR1–FR17) | Planned date: 12 Sept 2026 | Testers: All group members</t>
  </si>
  <si>
    <t>System Test – Full Integrated System, Performance (NFR3, NFR6) | Planned date: 12 Sept 2026 | Testers: All group members</t>
  </si>
  <si>
    <t>System Test – Full Integrated System, Usability (Nielsen heuristics, all portals) | Planned date: 12 Sept 2026 | Testers: All group members</t>
  </si>
  <si>
    <t>Tebogo Mosoma</t>
  </si>
  <si>
    <t xml:space="preserve">Name: Jane Doe
Age range: 19 - 25                                                                                                                                                                                                                                                                                                                                                                                                                                                                                                           Email: jane@test.com
City: Pretoria
Phone: 0821234567                                                                                                                                                                                                                                                                                                                                                                                                                                                                                                                   Skills: Cooking </t>
  </si>
  <si>
    <t>The selection options could be more visually apealing during registration.</t>
  </si>
  <si>
    <t>Volunteer account was created and the confirmation message was shown, the user was taken to their dashboard afterwards.</t>
  </si>
  <si>
    <t xml:space="preserve">Name: John Smith               Age range: 19 - 25
Email: (blank)                  City: Centurion                      Phone: 0636001038              Skills: Social Media            </t>
  </si>
  <si>
    <t>Form display error message "Please enter valid email" and does not submit.</t>
  </si>
  <si>
    <t>Pass</t>
  </si>
  <si>
    <t>Works perfectly.</t>
  </si>
  <si>
    <t>User is authenticated and is automatically redirected to the volunteer dashboard.</t>
  </si>
  <si>
    <t>User authentication works perfectly with no problems.</t>
  </si>
  <si>
    <t>Login is rejected with an appropriate error message is shown and user is denied access.</t>
  </si>
  <si>
    <t>Password validation works perfectly.</t>
  </si>
  <si>
    <t>A "Thank you" message appears after a donation has been made and the system gives feedback when the user registers or signs up.</t>
  </si>
  <si>
    <t>Unathi Masemola</t>
  </si>
  <si>
    <t>The system uses natural language, easy for users to understand.</t>
  </si>
  <si>
    <t>Layout of the system is kept consistent throughout.</t>
  </si>
  <si>
    <t>Low severity, the system has to include a delete or log out option for signed in users.</t>
  </si>
  <si>
    <t>The information on the dashboard minimises the user's memory load.</t>
  </si>
  <si>
    <t>The admin dashboard could implement filtering of danations by city and date within a single click.</t>
  </si>
  <si>
    <t>The pages contain relevant and clear information in a clean layout.</t>
  </si>
  <si>
    <t>Error messages are expressed in natural language.</t>
  </si>
  <si>
    <t>Help is fairly easy to find with contact support.</t>
  </si>
  <si>
    <t>All buttons and labels use familiar non-techincal language like "Volunteer With Us" and "Donate Now".</t>
  </si>
  <si>
    <t>The system enables the volunteers to edit their login hours and cancel a donation but they isn't a sign out as a volunteer option.</t>
  </si>
  <si>
    <t>The navigation menu remains in the same position on all pages and the busttons are usually red or black and the layout matches standard we conventions.</t>
  </si>
  <si>
    <t>The registration confirmation prevented submission when the email field was empty, with a message "email is required", but the delete option is not available.</t>
  </si>
  <si>
    <t>The volunteer dashboard shows the total hours volunteered so the user doesn't have to calculate it, the admin dashboard shows recent donations and requests that need to be approved.</t>
  </si>
  <si>
    <t>The system does not currently have much bulk actions for frequent tasks, but donation amounts don't need to be typed out, a sinlge click on a certain amount is an option.</t>
  </si>
  <si>
    <t>The dashboard displays clean metrics in a clean layout and the pages contail only necessary information like "email" and "passwor" fields in the Sign in page.</t>
  </si>
  <si>
    <t>The system informs the user of any invalid imputs for example the email would say "incorrect email or password"</t>
  </si>
  <si>
    <t>The FAQ page was easily accessible with answers to the most common questions, it also has a contact us form where users can communicate with the foundation through the website in also includes emails and the name of the owners.</t>
  </si>
  <si>
    <t>Partial</t>
  </si>
  <si>
    <t>26/08/2026</t>
  </si>
  <si>
    <t>What to check for this heuristic: see 'Nielsen Heuristics Checklist' reference</t>
  </si>
  <si>
    <t>What to check for this heuristic:  see 'Nielsen Heuristics Checklist' reference</t>
  </si>
  <si>
    <t>What to check for this heuristic:   see 'Nielsen Heuristics Checklist' reference</t>
  </si>
  <si>
    <t>Expected: heuristic is satisfied</t>
  </si>
  <si>
    <t>Hours are saved with the status of 'Pending' upon submission and admin is notified.</t>
  </si>
  <si>
    <t>Hours are saved with status 'Pending' and admin is notified.</t>
  </si>
  <si>
    <t>Lerato Letsoalo</t>
  </si>
  <si>
    <t>02/09/2026</t>
  </si>
  <si>
    <t>Volunteers can sucessfully log hours for events. *subject to approval/rejection by the admin.</t>
  </si>
  <si>
    <t>The volunteer hour logging was rejected, with the error message "Please enter between 0.5 and 24 hours" shown.</t>
  </si>
  <si>
    <t>The system validates numbers and rejects invalid values.</t>
  </si>
  <si>
    <t>1. Open donations
2. Enter donation amount and details
3. Submit</t>
  </si>
  <si>
    <t>Donation record is created and automatically updated onto the system.</t>
  </si>
  <si>
    <t>Form rejects the entry with a validation error.</t>
  </si>
  <si>
    <t>Donation record is created with status and transaction reference; total updates.</t>
  </si>
  <si>
    <t>Monetary donation capturing works perfectly as required.</t>
  </si>
  <si>
    <t>1. Open donations 
2. Select 'Donation Type'
3. Enter item and quantity
4. Submit</t>
  </si>
  <si>
    <t>The physical donation is captured and automatically recorded onto the item donation and total donations.</t>
  </si>
  <si>
    <t>Physical donations can also be captured and recorded on the website.</t>
  </si>
  <si>
    <t>The updated total reflets on the admin portal within 5 seconds.</t>
  </si>
  <si>
    <t>The website has real-time updates.</t>
  </si>
  <si>
    <t>Name: Tebogo Mosoma               Date: 02/09/2026       Amount: R500
City: Pretoria</t>
  </si>
  <si>
    <t>A certificate with the correct details is generated and can be downloaded as a pdf or png.</t>
  </si>
  <si>
    <t>Benjamin Mulamba</t>
  </si>
  <si>
    <t>09/09/2026</t>
  </si>
  <si>
    <t>Certificate downloading could be done faster.</t>
  </si>
  <si>
    <t>Volunteer hours are rejected and downloadable certificate is not generated.</t>
  </si>
  <si>
    <t>The system validates admin rejections and does not generate certificates for rejected hours.</t>
  </si>
  <si>
    <t>Volunteer: Jane Doe
Hours approved: 10</t>
  </si>
  <si>
    <t>The Reports page provides a Volunteer Hours Report, but the current implementation does not provide a city/project filter, so the Pretoria total of 42 hours cannot be verified using the required filter.</t>
  </si>
  <si>
    <t>Fail</t>
  </si>
  <si>
    <t>The admin Reports page contains a Donation Summary Report, but the current implementation only displays overall donation statistics. The report interface does not provide the required city and date range filtering</t>
  </si>
  <si>
    <r>
      <rPr>
        <b/>
        <sz val="10"/>
        <rFont val="Arial"/>
        <family val="2"/>
      </rPr>
      <t>Defect:</t>
    </r>
    <r>
      <rPr>
        <sz val="10"/>
        <rFont val="Arial"/>
        <charset val="1"/>
      </rPr>
      <t xml:space="preserve"> City filtering is not implemented in the current reporting interface.</t>
    </r>
  </si>
  <si>
    <t>Defect: City and date filtering and production report generation are not fully implemented.</t>
  </si>
  <si>
    <t>Dashboard loads within 5 seconds after log in with a stable connection.</t>
  </si>
  <si>
    <t>The dashboard loading time is up to standard.</t>
  </si>
  <si>
    <t>Users can visit the website, register as a volunteer, make a donation and submit contect enquiry.</t>
  </si>
  <si>
    <t>12/09/2026</t>
  </si>
  <si>
    <t>The website is live and works perfectly.</t>
  </si>
  <si>
    <t>Volunteers can generate downloadable certificates upon admin approval.</t>
  </si>
  <si>
    <t xml:space="preserve">The systems validates admin approvals/rejections allowing volunteers to generate downloadable certificates. </t>
  </si>
  <si>
    <t>Admin can create and update projects, uploading images and receive generated reports.</t>
  </si>
  <si>
    <t>Gallery updates are automatically shown on the public website.</t>
  </si>
  <si>
    <t>Access is denied for unauthorised users.</t>
  </si>
  <si>
    <t>Role-based access is implemented throughout the system.</t>
  </si>
  <si>
    <t>Each page loads within 3 seconds.</t>
  </si>
  <si>
    <t>The public website load time is up to standard.</t>
  </si>
  <si>
    <t>Admin dashboard loads within 5 seconds.</t>
  </si>
  <si>
    <t>The admin dashboard load time is up to standard.</t>
  </si>
  <si>
    <t>Sytem website is available for at least 99% of the time, excluding planned maintenance.</t>
  </si>
  <si>
    <t>System website can be accessed at any time during testing window.</t>
  </si>
  <si>
    <t>Donation record appears in reports within 5 seconds</t>
  </si>
  <si>
    <t>Donation records appear on the reports almost instantly.</t>
  </si>
  <si>
    <t>The user receives necessary feedback on actions.</t>
  </si>
  <si>
    <t>Users can undo or leave an unwanted state, but a sign out option must be included.</t>
  </si>
  <si>
    <t>The navigation bar highlights the active page (Home page is underlined when on the home page). When submitting the contact form there's no message or feedback appearing.</t>
  </si>
  <si>
    <t>The website uses natural language like "Register as Volunteer" instead of technical terminology.</t>
  </si>
  <si>
    <t>The navigation menu is visible on all the pages allowing users to move freely. The registration form doesn't have a "Back to Top" option and there's no "cancel" button on the form to clear all fields at once.</t>
  </si>
  <si>
    <t>The navigation menu is on the same position across all pages, buttons are consistently red or black and the footer is identical on each page.</t>
  </si>
  <si>
    <t>The email field does not validate input it still uses a demo account that always has access.</t>
  </si>
  <si>
    <t>The navigation menu lists all pages clearly "Home, About, Projects, Volunteer, Gallery, Contact) and the Donate button is always visilble.</t>
  </si>
  <si>
    <t>The public website is simple and user friendly for first time users, there are no shortcuts or bulk actions but it’s still appropriate for a public facing site.</t>
  </si>
  <si>
    <t>Pages contain only relevant information, the Home page has a hero section, ipact counters and calls-to-action. The registration form has clear labels and placeholder text.</t>
  </si>
  <si>
    <t>When submitting the registration form with a missing email, there is no message asking for a valid email, only accepts the demo's email since it's only front-end.</t>
  </si>
  <si>
    <t>The FAQ page is accessible and the contact page provides email adresses and phone numbers for the foundation. There are no tooltips on the registration form.</t>
  </si>
  <si>
    <t>The system should improve it's feedback on user actions.</t>
  </si>
  <si>
    <t>The language is appropriate for a non-profit audience.</t>
  </si>
  <si>
    <t>Minor issue, a clear back to top and reset button would enhance user control.</t>
  </si>
  <si>
    <t>Layout is consistent throughout the public website.</t>
  </si>
  <si>
    <t>High priority issue, the email field should include input validation.</t>
  </si>
  <si>
    <t>Users don't need to remember page loactions.</t>
  </si>
  <si>
    <t>The website is designed for simplicity which suits it's purpose.</t>
  </si>
  <si>
    <t>The design remains clean and proffessional.</t>
  </si>
  <si>
    <t>Minor issue, we need to implement email authentication in the backend logic.</t>
  </si>
  <si>
    <t>FAQ is available but contextual help could be improved.</t>
  </si>
  <si>
    <t>After logging in, the volunteer dashboard displays "Total Hours: 12" and "Pending Approvals": 3" when logging hours, a "Hours submitted successfully" message appears.</t>
  </si>
  <si>
    <t>Dashboard provides clear status updates.</t>
  </si>
  <si>
    <t>The dashboard uses terms like "log Hours" and "Upcoming Events" which are familiar to volunteers.</t>
  </si>
  <si>
    <t>Jargon is appropriate for volunteers.</t>
  </si>
  <si>
    <t>Volunteers can edit their logged hours before final submission, but once the hours are approvd, they can't be edited this is intentional to prevent fraud. There is no "cancel" button on the donation form.</t>
  </si>
  <si>
    <t>A cancel button on the donation form would improve the system's user control.</t>
  </si>
  <si>
    <t xml:space="preserve">The volunteer dashboard uses the same colour which is red and black and naviagtion style as the public website, the buttons are also consistently styled. </t>
  </si>
  <si>
    <t>Consistent design across the system.</t>
  </si>
  <si>
    <t>The "Log Hours" form rejects negative values with the message "Hours must be a positive number." The donation form validates that the amount is greater that zero.</t>
  </si>
  <si>
    <t>Validation prevents common errors.</t>
  </si>
  <si>
    <t>The volunteer dashboard shows a summary card with "Total Hours" and "pending Approvals" so volunteers don't need to calculate or remember their hours. Upcoming events are listed on the dashboard.</t>
  </si>
  <si>
    <t>Dashboard minimises memory load.</t>
  </si>
  <si>
    <t>The donation form has pre set amounts that’s can be clicked instead of typing, saving time. However, there are no bulk actions for logging hours.</t>
  </si>
  <si>
    <t>Numbers are helpful, but bulk actions would improve efficienc.</t>
  </si>
  <si>
    <t>The volunteer dashboard displays only relevant information; upcoming events, logged hours, and certificates. The donation form is simple with only necessary fields.</t>
  </si>
  <si>
    <t>Clean and focused design.</t>
  </si>
  <si>
    <t>When entering an invalid donation amount like R0 the message "Please enter an amount greater than R0" apperas. When a payment fails, the message says "Transaction declined. Please check your card details."</t>
  </si>
  <si>
    <t>Error messages are sprcific and actionable.</t>
  </si>
  <si>
    <t>The FAQ page is accessible from the footer but there are no tooltops on the "Log Hours" from, but the form labels are self-explanatory.</t>
  </si>
  <si>
    <t>Adding tooltips would help to improve UX for new users.</t>
  </si>
  <si>
    <t>The admin dashboard displays "pending approvals: %" and "Total Donations: R12, 000". When approving hours, a "hours approved successfully" message appears.</t>
  </si>
  <si>
    <t>Dashboard provides clear feedback.</t>
  </si>
  <si>
    <t>The dashboard uses terms like "Volunteer management", "Hour Approvals" and "Donation Reports" which are familiar to administrators.</t>
  </si>
  <si>
    <t>Terminology is appropriate.</t>
  </si>
  <si>
    <t>Administrators can reject hours with a reason, which can be chnaged later if needed, but there is no undo option after approval.</t>
  </si>
  <si>
    <t>Minor issue - An undo option would provide more control.</t>
  </si>
  <si>
    <t>The admin dashboard uses the same navigation style and colours as the volunteer dashboard and public website.</t>
  </si>
  <si>
    <t>There is consistent design across all portals.</t>
  </si>
  <si>
    <t>When approving hours, a confirmation dialog asks "Are you sure you want to approve these hours?" This prevents accidental approvals.</t>
  </si>
  <si>
    <t>Confirmation dialogs prevent errors.</t>
  </si>
  <si>
    <t>The admin dashboard sjows recent donations and pending approvals immediately upon login. Reports are accessible from the sidebar.</t>
  </si>
  <si>
    <t>Information is easily accessible.</t>
  </si>
  <si>
    <t>The admin dashboard allows filtering of donations by date range, but there are no bulk actions for approving multiple hours at once.</t>
  </si>
  <si>
    <t>Bulk actions would improve efficiency for large volumes.</t>
  </si>
  <si>
    <t>The admin dashboard displays key metrics like Total Volunteers and Total Donations in clean cards. The layout is not cluttered.</t>
  </si>
  <si>
    <t>When rejecting hours without providing a reason, the message "please provide a reason for rejection" appears.</t>
  </si>
  <si>
    <t>Error messages are clear and actionable.</t>
  </si>
  <si>
    <t>The FAQ page is accessible but there's no admin-specific help documentation, however the dashboard is intutitive.</t>
  </si>
  <si>
    <t>Admin-specific help documentation would improve the Admin's user experience.</t>
  </si>
  <si>
    <t>What to check for this heuristic : see 'Nielsen Heuristics Checklist'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</si>
</sst>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color rgb="FF4F6228"/>
      <name val="Arial"/>
      <charset val="1"/>
    </font>
    <font>
      <i/>
      <sz val="10"/>
      <color rgb="FF595959"/>
      <name val="Arial"/>
      <charset val="1"/>
    </font>
    <font>
      <sz val="10"/>
      <name val="Arial"/>
      <charset val="1"/>
    </font>
    <font>
      <b/>
      <sz val="10"/>
      <name val="Arial"/>
      <charset val="1"/>
    </font>
    <font>
      <b/>
      <sz val="14"/>
      <color rgb="FF4F6228"/>
      <name val="Arial"/>
      <charset val="1"/>
    </font>
    <font>
      <b/>
      <sz val="10"/>
      <color rgb="FFFFFFFF"/>
      <name val="Arial"/>
      <charset val="1"/>
    </font>
    <font>
      <b/>
      <sz val="10"/>
      <name val="Arial"/>
      <family val="2"/>
    </font>
    <font>
      <sz val="10"/>
      <name val="Arial"/>
      <family val="2"/>
    </font>
  </fonts>
  <fills count="6">
    <fill>
      <patternFill patternType="none"/>
    </fill>
    <fill>
      <patternFill patternType="gray125"/>
    </fill>
    <fill>
      <patternFill patternType="solid">
        <fgColor rgb="FF4F6228"/>
        <bgColor rgb="FF595959"/>
      </patternFill>
    </fill>
    <fill>
      <patternFill patternType="solid">
        <fgColor rgb="FFD6E4B4"/>
        <bgColor rgb="FFFFF2CC"/>
      </patternFill>
    </fill>
    <fill>
      <patternFill patternType="solid">
        <fgColor theme="0"/>
        <bgColor rgb="FFFFFFFF"/>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6" fillId="2" borderId="1" xfId="0" applyFont="1" applyFill="1" applyBorder="1" applyAlignment="1">
      <alignment horizontal="center" vertical="center" wrapText="1"/>
    </xf>
    <xf numFmtId="0" fontId="4" fillId="0" borderId="1" xfId="0" applyFont="1" applyBorder="1"/>
    <xf numFmtId="0" fontId="3" fillId="0" borderId="1" xfId="0" applyFont="1" applyBorder="1" applyAlignment="1">
      <alignment horizontal="center"/>
    </xf>
    <xf numFmtId="9" fontId="3" fillId="0" borderId="1" xfId="0" applyNumberFormat="1" applyFont="1" applyBorder="1" applyAlignment="1">
      <alignment horizontal="center"/>
    </xf>
    <xf numFmtId="0" fontId="4" fillId="3" borderId="1" xfId="0" applyFont="1" applyFill="1" applyBorder="1"/>
    <xf numFmtId="0" fontId="4" fillId="3" borderId="1" xfId="0" applyFont="1" applyFill="1" applyBorder="1" applyAlignment="1">
      <alignment horizontal="center"/>
    </xf>
    <xf numFmtId="9" fontId="4" fillId="3" borderId="1" xfId="0" applyNumberFormat="1" applyFont="1" applyFill="1" applyBorder="1" applyAlignment="1">
      <alignment horizontal="center"/>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0" fillId="0" borderId="1" xfId="0" applyBorder="1"/>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15" fontId="3" fillId="4" borderId="1" xfId="0" applyNumberFormat="1" applyFont="1" applyFill="1" applyBorder="1" applyAlignment="1">
      <alignment horizontal="center" vertical="top" wrapText="1"/>
    </xf>
    <xf numFmtId="14" fontId="3" fillId="4" borderId="1" xfId="0" applyNumberFormat="1" applyFont="1" applyFill="1" applyBorder="1" applyAlignment="1">
      <alignment horizontal="left" vertical="top" wrapText="1"/>
    </xf>
    <xf numFmtId="0" fontId="0" fillId="4" borderId="1" xfId="0" applyFill="1" applyBorder="1"/>
    <xf numFmtId="0" fontId="0" fillId="5" borderId="0" xfId="0" applyFill="1"/>
    <xf numFmtId="0" fontId="8" fillId="4" borderId="1" xfId="0" applyFont="1" applyFill="1" applyBorder="1" applyAlignment="1">
      <alignment horizontal="left" vertical="top" wrapText="1"/>
    </xf>
    <xf numFmtId="0" fontId="8" fillId="4" borderId="1" xfId="0" applyFont="1" applyFill="1" applyBorder="1" applyAlignment="1">
      <alignment horizontal="center" vertical="top" wrapText="1"/>
    </xf>
    <xf numFmtId="0" fontId="5" fillId="0" borderId="0" xfId="0" applyFont="1"/>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4F6228"/>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6E4B4"/>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tabSelected="1" zoomScaleNormal="100" workbookViewId="0">
      <selection activeCell="A5" sqref="A5:B11"/>
    </sheetView>
  </sheetViews>
  <sheetFormatPr defaultColWidth="8.6640625" defaultRowHeight="14.4" x14ac:dyDescent="0.3"/>
  <cols>
    <col min="1" max="1" width="3" customWidth="1"/>
    <col min="2" max="2" width="100" customWidth="1"/>
  </cols>
  <sheetData>
    <row r="1" spans="1:2" ht="21" x14ac:dyDescent="0.4">
      <c r="A1" s="21" t="s">
        <v>0</v>
      </c>
      <c r="B1" s="21"/>
    </row>
    <row r="2" spans="1:2" x14ac:dyDescent="0.3">
      <c r="A2" s="20" t="s">
        <v>1</v>
      </c>
      <c r="B2" s="20"/>
    </row>
    <row r="4" spans="1:2" ht="9.75" customHeight="1" x14ac:dyDescent="0.3">
      <c r="A4" s="22"/>
      <c r="B4" s="22"/>
    </row>
    <row r="5" spans="1:2" ht="30" customHeight="1" x14ac:dyDescent="0.3">
      <c r="A5" s="23" t="s">
        <v>2</v>
      </c>
      <c r="B5" s="23"/>
    </row>
    <row r="6" spans="1:2" ht="30" customHeight="1" x14ac:dyDescent="0.3">
      <c r="A6" s="22" t="s">
        <v>3</v>
      </c>
      <c r="B6" s="22"/>
    </row>
    <row r="7" spans="1:2" ht="30" customHeight="1" x14ac:dyDescent="0.3">
      <c r="A7" s="22" t="s">
        <v>226</v>
      </c>
      <c r="B7" s="22"/>
    </row>
    <row r="8" spans="1:2" ht="30" customHeight="1" x14ac:dyDescent="0.3">
      <c r="A8" s="22" t="s">
        <v>227</v>
      </c>
      <c r="B8" s="22"/>
    </row>
    <row r="9" spans="1:2" ht="30" customHeight="1" x14ac:dyDescent="0.3">
      <c r="A9" s="22" t="s">
        <v>4</v>
      </c>
      <c r="B9" s="22"/>
    </row>
    <row r="10" spans="1:2" ht="30" customHeight="1" x14ac:dyDescent="0.3">
      <c r="A10" s="22" t="s">
        <v>228</v>
      </c>
      <c r="B10" s="22"/>
    </row>
    <row r="11" spans="1:2" ht="30" customHeight="1" x14ac:dyDescent="0.3">
      <c r="A11" s="22" t="s">
        <v>5</v>
      </c>
      <c r="B11" s="22"/>
    </row>
  </sheetData>
  <mergeCells count="10">
    <mergeCell ref="A7:B7"/>
    <mergeCell ref="A8:B8"/>
    <mergeCell ref="A9:B9"/>
    <mergeCell ref="A10:B10"/>
    <mergeCell ref="A11:B11"/>
    <mergeCell ref="A1:B1"/>
    <mergeCell ref="A2:B2"/>
    <mergeCell ref="A4:B4"/>
    <mergeCell ref="A5:B5"/>
    <mergeCell ref="A6:B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showGridLines="0" zoomScaleNormal="100" workbookViewId="0">
      <selection activeCell="G22" sqref="G22"/>
    </sheetView>
  </sheetViews>
  <sheetFormatPr defaultColWidth="8.6640625" defaultRowHeight="14.4" x14ac:dyDescent="0.3"/>
  <cols>
    <col min="1" max="1" width="26" customWidth="1"/>
    <col min="2" max="2" width="12" customWidth="1"/>
    <col min="3" max="4" width="10" customWidth="1"/>
    <col min="5" max="6" width="12" customWidth="1"/>
  </cols>
  <sheetData>
    <row r="1" spans="1:6" ht="17.399999999999999" x14ac:dyDescent="0.3">
      <c r="A1" s="19" t="s">
        <v>6</v>
      </c>
      <c r="B1" s="19"/>
      <c r="C1" s="19"/>
      <c r="D1" s="19"/>
      <c r="E1" s="19"/>
      <c r="F1" s="19"/>
    </row>
    <row r="2" spans="1:6" x14ac:dyDescent="0.3">
      <c r="A2" s="20" t="s">
        <v>7</v>
      </c>
      <c r="B2" s="20"/>
      <c r="C2" s="20"/>
      <c r="D2" s="20"/>
      <c r="E2" s="20"/>
      <c r="F2" s="20"/>
    </row>
    <row r="4" spans="1:6" ht="30" customHeight="1" x14ac:dyDescent="0.3">
      <c r="A4" s="1" t="s">
        <v>8</v>
      </c>
      <c r="B4" s="1" t="s">
        <v>9</v>
      </c>
      <c r="C4" s="1" t="s">
        <v>10</v>
      </c>
      <c r="D4" s="1" t="s">
        <v>11</v>
      </c>
      <c r="E4" s="1" t="s">
        <v>12</v>
      </c>
      <c r="F4" s="1" t="s">
        <v>13</v>
      </c>
    </row>
    <row r="5" spans="1:6" x14ac:dyDescent="0.3">
      <c r="A5" s="2" t="s">
        <v>14</v>
      </c>
      <c r="B5" s="3">
        <f>COUNTIF('Iteration 1 Unit'!A5:A15,"?*")</f>
        <v>5</v>
      </c>
      <c r="C5" s="3">
        <f>COUNTIF('Iteration 1 Unit'!I5:I15,"Pass")</f>
        <v>5</v>
      </c>
      <c r="D5" s="3">
        <f>COUNTIF('Iteration 1 Unit'!I5:I15,"Fail")</f>
        <v>0</v>
      </c>
      <c r="E5" s="3">
        <f>COUNTIF('Iteration 1 Unit'!I5:I15,"Not Tested")+COUNTIF('Iteration 1 Unit'!I5:I15,"Partial")</f>
        <v>0</v>
      </c>
      <c r="F5" s="4">
        <f t="shared" ref="F5:F14" si="0">IFERROR(C5/B5,"")</f>
        <v>1</v>
      </c>
    </row>
    <row r="6" spans="1:6" x14ac:dyDescent="0.3">
      <c r="A6" s="2" t="s">
        <v>15</v>
      </c>
      <c r="B6" s="3">
        <f>COUNTIF('Iteration 1 Usability'!A5:A14,"?*")</f>
        <v>10</v>
      </c>
      <c r="C6" s="3">
        <f>COUNTIF('Iteration 1 Usability'!G5:G14,"Pass")</f>
        <v>5</v>
      </c>
      <c r="D6" s="3">
        <f>COUNTIF('Iteration 1 Usability'!G5:G14,"Fail")</f>
        <v>2</v>
      </c>
      <c r="E6" s="3">
        <f>COUNTIF('Iteration 1 Usability'!G5:G14,"Not Tested")+COUNTIF('Iteration 1 Usability'!G5:G14,"Partial")</f>
        <v>3</v>
      </c>
      <c r="F6" s="4">
        <f t="shared" si="0"/>
        <v>0.5</v>
      </c>
    </row>
    <row r="7" spans="1:6" x14ac:dyDescent="0.3">
      <c r="A7" s="2" t="s">
        <v>16</v>
      </c>
      <c r="B7" s="3">
        <f>COUNTIF('Iteration 2 Unit'!A5:A15,"?*")</f>
        <v>5</v>
      </c>
      <c r="C7" s="3">
        <f>COUNTIF('Iteration 2 Unit'!I5:I15,"Pass")</f>
        <v>5</v>
      </c>
      <c r="D7" s="3">
        <f>COUNTIF('Iteration 2 Unit'!I5:I15,"Fail")</f>
        <v>0</v>
      </c>
      <c r="E7" s="3">
        <f>COUNTIF('Iteration 2 Unit'!I5:I15,"Not Tested")+COUNTIF('Iteration 2 Unit'!I5:I15,"Partial")</f>
        <v>0</v>
      </c>
      <c r="F7" s="4">
        <f t="shared" si="0"/>
        <v>1</v>
      </c>
    </row>
    <row r="8" spans="1:6" x14ac:dyDescent="0.3">
      <c r="A8" s="2" t="s">
        <v>17</v>
      </c>
      <c r="B8" s="3">
        <f>COUNTIF('Iteration 2 Usability'!A5:A14,"?*")</f>
        <v>10</v>
      </c>
      <c r="C8" s="3">
        <f>COUNTIF('Iteration 2 Usability'!G5:G14,"Pass")</f>
        <v>7</v>
      </c>
      <c r="D8" s="3">
        <f>COUNTIF('Iteration 2 Usability'!G5:G14,"Fail")</f>
        <v>0</v>
      </c>
      <c r="E8" s="3">
        <f>COUNTIF('Iteration 2 Usability'!G5:G14,"Not Tested")+COUNTIF('Iteration 2 Usability'!G5:G14,"Partial")</f>
        <v>3</v>
      </c>
      <c r="F8" s="4">
        <f t="shared" si="0"/>
        <v>0.7</v>
      </c>
    </row>
    <row r="9" spans="1:6" x14ac:dyDescent="0.3">
      <c r="A9" s="2" t="s">
        <v>18</v>
      </c>
      <c r="B9" s="3">
        <f>COUNTIF('Iteration 3 Unit'!A5:A15,"?*")</f>
        <v>5</v>
      </c>
      <c r="C9" s="3">
        <f>COUNTIF('Iteration 3 Unit'!I5:I15,"Pass")</f>
        <v>3</v>
      </c>
      <c r="D9" s="3">
        <f>COUNTIF('Iteration 3 Unit'!I5:I15,"Fail")</f>
        <v>2</v>
      </c>
      <c r="E9" s="3">
        <f>COUNTIF('Iteration 3 Unit'!I5:I15,"Not Tested")+COUNTIF('Iteration 3 Unit'!I5:I15,"Partial")</f>
        <v>0</v>
      </c>
      <c r="F9" s="4">
        <f t="shared" si="0"/>
        <v>0.6</v>
      </c>
    </row>
    <row r="10" spans="1:6" x14ac:dyDescent="0.3">
      <c r="A10" s="2" t="s">
        <v>19</v>
      </c>
      <c r="B10" s="3">
        <f>COUNTIF('Iteration 3 Usability'!A5:A14,"?*")</f>
        <v>10</v>
      </c>
      <c r="C10" s="3">
        <f>COUNTIF('Iteration 3 Usability'!G5:G14,"Pass")</f>
        <v>7</v>
      </c>
      <c r="D10" s="3">
        <f>COUNTIF('Iteration 3 Usability'!G5:G14,"Fail")</f>
        <v>0</v>
      </c>
      <c r="E10" s="3">
        <f>COUNTIF('Iteration 3 Usability'!G5:G14,"Not Tested")+COUNTIF('Iteration 3 Usability'!G5:G14,"Partial")</f>
        <v>3</v>
      </c>
      <c r="F10" s="4">
        <f t="shared" si="0"/>
        <v>0.7</v>
      </c>
    </row>
    <row r="11" spans="1:6" x14ac:dyDescent="0.3">
      <c r="A11" s="2" t="s">
        <v>20</v>
      </c>
      <c r="B11" s="3">
        <f>COUNTIF('System Test - Functionality'!A5:A14,"?*")</f>
        <v>4</v>
      </c>
      <c r="C11" s="3">
        <f>COUNTIF('System Test - Functionality'!I5:I14,"Pass")</f>
        <v>4</v>
      </c>
      <c r="D11" s="3">
        <f>COUNTIF('System Test - Functionality'!I5:I14,"Fail")</f>
        <v>0</v>
      </c>
      <c r="E11" s="3">
        <f>COUNTIF('System Test - Functionality'!I5:I14,"Not Tested")+COUNTIF('System Test - Functionality'!I5:I14,"Partial")</f>
        <v>0</v>
      </c>
      <c r="F11" s="4">
        <f t="shared" si="0"/>
        <v>1</v>
      </c>
    </row>
    <row r="12" spans="1:6" x14ac:dyDescent="0.3">
      <c r="A12" s="2" t="s">
        <v>21</v>
      </c>
      <c r="B12" s="3">
        <f>COUNTIF('System Test - Performance'!A5:A14,"?*")</f>
        <v>4</v>
      </c>
      <c r="C12" s="3">
        <f>COUNTIF('System Test - Performance'!I5:I14,"Pass")</f>
        <v>4</v>
      </c>
      <c r="D12" s="3">
        <f>COUNTIF('System Test - Performance'!I5:I14,"Fail")</f>
        <v>0</v>
      </c>
      <c r="E12" s="3">
        <f>COUNTIF('System Test - Performance'!I5:I14,"Not Tested")+COUNTIF('System Test - Performance'!I5:I14,"Partial")</f>
        <v>0</v>
      </c>
      <c r="F12" s="4">
        <f t="shared" si="0"/>
        <v>1</v>
      </c>
    </row>
    <row r="13" spans="1:6" x14ac:dyDescent="0.3">
      <c r="A13" s="2" t="s">
        <v>22</v>
      </c>
      <c r="B13" s="3">
        <f>COUNTIF('System Test - Usability'!A5:A14,"?*")</f>
        <v>10</v>
      </c>
      <c r="C13" s="3">
        <f>COUNTIF('System Test - Usability'!G5:G14,"Pass")</f>
        <v>7</v>
      </c>
      <c r="D13" s="3">
        <f>COUNTIF('System Test - Usability'!G5:G14,"Fail")</f>
        <v>0</v>
      </c>
      <c r="E13" s="3">
        <f>COUNTIF('System Test - Usability'!G5:G14,"Not Tested")+COUNTIF('System Test - Usability'!G5:G14,"Partial")</f>
        <v>3</v>
      </c>
      <c r="F13" s="4">
        <f t="shared" si="0"/>
        <v>0.7</v>
      </c>
    </row>
    <row r="14" spans="1:6" x14ac:dyDescent="0.3">
      <c r="A14" s="5" t="s">
        <v>23</v>
      </c>
      <c r="B14" s="6">
        <f>SUM(B5:B13)</f>
        <v>63</v>
      </c>
      <c r="C14" s="6">
        <f>SUM(C5:C13)</f>
        <v>47</v>
      </c>
      <c r="D14" s="6">
        <f>SUM(D5:D13)</f>
        <v>4</v>
      </c>
      <c r="E14" s="6">
        <f>SUM(E5:E13)</f>
        <v>12</v>
      </c>
      <c r="F14" s="7">
        <f t="shared" si="0"/>
        <v>0.74603174603174605</v>
      </c>
    </row>
    <row r="16" spans="1:6" x14ac:dyDescent="0.3">
      <c r="A16" s="20" t="s">
        <v>24</v>
      </c>
      <c r="B16" s="20"/>
      <c r="C16" s="20"/>
      <c r="D16" s="20"/>
      <c r="E16" s="20"/>
      <c r="F16" s="20"/>
    </row>
  </sheetData>
  <mergeCells count="3">
    <mergeCell ref="A1:F1"/>
    <mergeCell ref="A2:F2"/>
    <mergeCell ref="A16:F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
  <sheetViews>
    <sheetView showGridLines="0" zoomScale="90" zoomScaleNormal="90" workbookViewId="0">
      <pane ySplit="4" topLeftCell="A5" activePane="bottomLeft" state="frozen"/>
      <selection pane="bottomLeft" activeCell="A5" sqref="A5"/>
    </sheetView>
  </sheetViews>
  <sheetFormatPr defaultColWidth="8.6640625" defaultRowHeight="14.4" x14ac:dyDescent="0.3"/>
  <cols>
    <col min="1" max="1" width="12" customWidth="1"/>
    <col min="2" max="2" width="14" customWidth="1"/>
    <col min="3" max="3" width="26" customWidth="1"/>
    <col min="4" max="4" width="18" customWidth="1"/>
    <col min="5" max="5" width="30" customWidth="1"/>
    <col min="6" max="6" width="18" customWidth="1"/>
    <col min="7" max="8" width="26" customWidth="1"/>
    <col min="9" max="9" width="10" customWidth="1"/>
    <col min="10" max="10" width="14" customWidth="1"/>
    <col min="11" max="11" width="12" customWidth="1"/>
    <col min="12" max="12" width="22" customWidth="1"/>
  </cols>
  <sheetData>
    <row r="1" spans="1:12" ht="17.399999999999999" x14ac:dyDescent="0.3">
      <c r="A1" s="19" t="s">
        <v>14</v>
      </c>
      <c r="B1" s="19"/>
      <c r="C1" s="19"/>
      <c r="D1" s="19"/>
      <c r="E1" s="19"/>
      <c r="F1" s="19"/>
      <c r="G1" s="19"/>
      <c r="H1" s="19"/>
      <c r="I1" s="19"/>
      <c r="J1" s="19"/>
      <c r="K1" s="19"/>
      <c r="L1" s="19"/>
    </row>
    <row r="2" spans="1:12" x14ac:dyDescent="0.3">
      <c r="A2" s="20" t="s">
        <v>229</v>
      </c>
      <c r="B2" s="20"/>
      <c r="C2" s="20"/>
      <c r="D2" s="20"/>
      <c r="E2" s="20"/>
      <c r="F2" s="20"/>
      <c r="G2" s="20"/>
      <c r="H2" s="20"/>
      <c r="I2" s="20"/>
      <c r="J2" s="20"/>
      <c r="K2" s="20"/>
      <c r="L2" s="20"/>
    </row>
    <row r="4" spans="1:12" ht="30" customHeight="1" x14ac:dyDescent="0.3">
      <c r="A4" s="1" t="s">
        <v>25</v>
      </c>
      <c r="B4" s="1" t="s">
        <v>26</v>
      </c>
      <c r="C4" s="1" t="s">
        <v>27</v>
      </c>
      <c r="D4" s="1" t="s">
        <v>28</v>
      </c>
      <c r="E4" s="1" t="s">
        <v>29</v>
      </c>
      <c r="F4" s="1" t="s">
        <v>30</v>
      </c>
      <c r="G4" s="1" t="s">
        <v>31</v>
      </c>
      <c r="H4" s="1" t="s">
        <v>32</v>
      </c>
      <c r="I4" s="1" t="s">
        <v>33</v>
      </c>
      <c r="J4" s="1" t="s">
        <v>34</v>
      </c>
      <c r="K4" s="1" t="s">
        <v>35</v>
      </c>
      <c r="L4" s="1" t="s">
        <v>36</v>
      </c>
    </row>
    <row r="5" spans="1:12" ht="60" customHeight="1" x14ac:dyDescent="0.3">
      <c r="A5" s="8" t="s">
        <v>37</v>
      </c>
      <c r="B5" s="8" t="s">
        <v>38</v>
      </c>
      <c r="C5" s="9" t="s">
        <v>39</v>
      </c>
      <c r="D5" s="9" t="s">
        <v>40</v>
      </c>
      <c r="E5" s="9" t="s">
        <v>41</v>
      </c>
      <c r="F5" s="9" t="s">
        <v>239</v>
      </c>
      <c r="G5" s="9" t="s">
        <v>42</v>
      </c>
      <c r="H5" s="12" t="s">
        <v>241</v>
      </c>
      <c r="I5" s="14" t="s">
        <v>244</v>
      </c>
      <c r="J5" s="12" t="s">
        <v>238</v>
      </c>
      <c r="K5" s="13">
        <v>46260</v>
      </c>
      <c r="L5" s="12" t="s">
        <v>240</v>
      </c>
    </row>
    <row r="6" spans="1:12" ht="60" customHeight="1" x14ac:dyDescent="0.3">
      <c r="A6" s="8" t="s">
        <v>43</v>
      </c>
      <c r="B6" s="8" t="s">
        <v>38</v>
      </c>
      <c r="C6" s="9" t="s">
        <v>44</v>
      </c>
      <c r="D6" s="9" t="s">
        <v>40</v>
      </c>
      <c r="E6" s="9" t="s">
        <v>45</v>
      </c>
      <c r="F6" s="9" t="s">
        <v>242</v>
      </c>
      <c r="G6" s="9" t="s">
        <v>46</v>
      </c>
      <c r="H6" s="12" t="s">
        <v>243</v>
      </c>
      <c r="I6" s="14" t="s">
        <v>244</v>
      </c>
      <c r="J6" s="12" t="s">
        <v>238</v>
      </c>
      <c r="K6" s="13">
        <v>46260</v>
      </c>
      <c r="L6" s="12" t="s">
        <v>240</v>
      </c>
    </row>
    <row r="7" spans="1:12" ht="60" customHeight="1" x14ac:dyDescent="0.3">
      <c r="A7" s="8" t="s">
        <v>47</v>
      </c>
      <c r="B7" s="8" t="s">
        <v>38</v>
      </c>
      <c r="C7" s="9" t="s">
        <v>48</v>
      </c>
      <c r="D7" s="9" t="s">
        <v>40</v>
      </c>
      <c r="E7" s="9" t="s">
        <v>49</v>
      </c>
      <c r="F7" s="9" t="s">
        <v>50</v>
      </c>
      <c r="G7" s="9" t="s">
        <v>51</v>
      </c>
      <c r="H7" s="12" t="s">
        <v>243</v>
      </c>
      <c r="I7" s="12" t="s">
        <v>244</v>
      </c>
      <c r="J7" s="12" t="s">
        <v>238</v>
      </c>
      <c r="K7" s="13">
        <v>46260</v>
      </c>
      <c r="L7" s="12" t="s">
        <v>245</v>
      </c>
    </row>
    <row r="8" spans="1:12" ht="60" customHeight="1" x14ac:dyDescent="0.3">
      <c r="A8" s="8" t="s">
        <v>52</v>
      </c>
      <c r="B8" s="8" t="s">
        <v>53</v>
      </c>
      <c r="C8" s="9" t="s">
        <v>54</v>
      </c>
      <c r="D8" s="9" t="s">
        <v>55</v>
      </c>
      <c r="E8" s="9" t="s">
        <v>56</v>
      </c>
      <c r="F8" s="9" t="s">
        <v>57</v>
      </c>
      <c r="G8" s="9" t="s">
        <v>58</v>
      </c>
      <c r="H8" s="12" t="s">
        <v>246</v>
      </c>
      <c r="I8" s="12" t="s">
        <v>244</v>
      </c>
      <c r="J8" s="12" t="s">
        <v>238</v>
      </c>
      <c r="K8" s="13">
        <v>46260</v>
      </c>
      <c r="L8" s="12" t="s">
        <v>247</v>
      </c>
    </row>
    <row r="9" spans="1:12" ht="60" customHeight="1" x14ac:dyDescent="0.3">
      <c r="A9" s="8" t="s">
        <v>59</v>
      </c>
      <c r="B9" s="8" t="s">
        <v>53</v>
      </c>
      <c r="C9" s="9" t="s">
        <v>60</v>
      </c>
      <c r="D9" s="9" t="s">
        <v>55</v>
      </c>
      <c r="E9" s="9" t="s">
        <v>61</v>
      </c>
      <c r="F9" s="9" t="s">
        <v>62</v>
      </c>
      <c r="G9" s="9" t="s">
        <v>63</v>
      </c>
      <c r="H9" s="12" t="s">
        <v>248</v>
      </c>
      <c r="I9" s="12" t="s">
        <v>244</v>
      </c>
      <c r="J9" s="12" t="s">
        <v>238</v>
      </c>
      <c r="K9" s="13">
        <v>46260</v>
      </c>
      <c r="L9" s="12" t="s">
        <v>249</v>
      </c>
    </row>
    <row r="10" spans="1:12" ht="39.75" customHeight="1" x14ac:dyDescent="0.3">
      <c r="A10" s="10"/>
      <c r="B10" s="10"/>
      <c r="C10" s="10"/>
      <c r="D10" s="10"/>
      <c r="E10" s="10"/>
      <c r="F10" s="10"/>
      <c r="G10" s="10"/>
      <c r="H10" s="15"/>
      <c r="I10" s="15"/>
      <c r="J10" s="15"/>
      <c r="K10" s="15"/>
      <c r="L10" s="15"/>
    </row>
    <row r="11" spans="1:12" ht="39.75" customHeight="1" x14ac:dyDescent="0.3">
      <c r="A11" s="10"/>
      <c r="B11" s="10"/>
      <c r="C11" s="10"/>
      <c r="D11" s="10"/>
      <c r="E11" s="10"/>
      <c r="F11" s="10"/>
      <c r="G11" s="10"/>
      <c r="H11" s="15"/>
      <c r="I11" s="15"/>
      <c r="J11" s="15"/>
      <c r="K11" s="15"/>
      <c r="L11" s="15"/>
    </row>
    <row r="12" spans="1:12" ht="39.75" customHeight="1" x14ac:dyDescent="0.3">
      <c r="A12" s="10"/>
      <c r="B12" s="10"/>
      <c r="C12" s="10"/>
      <c r="D12" s="10"/>
      <c r="E12" s="10"/>
      <c r="F12" s="10"/>
      <c r="G12" s="10"/>
      <c r="H12" s="15"/>
      <c r="I12" s="15"/>
      <c r="J12" s="15"/>
      <c r="K12" s="15"/>
      <c r="L12" s="15"/>
    </row>
    <row r="13" spans="1:12" ht="39.75" customHeight="1" x14ac:dyDescent="0.3">
      <c r="A13" s="10"/>
      <c r="B13" s="10"/>
      <c r="C13" s="10"/>
      <c r="D13" s="10"/>
      <c r="E13" s="10"/>
      <c r="F13" s="10"/>
      <c r="G13" s="10"/>
      <c r="H13" s="15"/>
      <c r="I13" s="15"/>
      <c r="J13" s="15"/>
      <c r="K13" s="15"/>
      <c r="L13" s="15"/>
    </row>
    <row r="14" spans="1:12" ht="39.75" customHeight="1" x14ac:dyDescent="0.3">
      <c r="A14" s="10"/>
      <c r="B14" s="10"/>
      <c r="C14" s="10"/>
      <c r="D14" s="10"/>
      <c r="E14" s="10"/>
      <c r="F14" s="10"/>
      <c r="G14" s="10"/>
      <c r="H14" s="15"/>
      <c r="I14" s="15"/>
      <c r="J14" s="15"/>
      <c r="K14" s="15"/>
      <c r="L14" s="15"/>
    </row>
    <row r="15" spans="1:12" ht="39.75" customHeight="1" x14ac:dyDescent="0.3">
      <c r="A15" s="10"/>
      <c r="B15" s="10"/>
      <c r="C15" s="10"/>
      <c r="D15" s="10"/>
      <c r="E15" s="10"/>
      <c r="F15" s="10"/>
      <c r="G15" s="10"/>
      <c r="H15" s="15"/>
      <c r="I15" s="15"/>
      <c r="J15" s="15"/>
      <c r="K15" s="15"/>
      <c r="L15" s="15"/>
    </row>
  </sheetData>
  <mergeCells count="2">
    <mergeCell ref="A1:L1"/>
    <mergeCell ref="A2:L2"/>
  </mergeCells>
  <dataValidations count="1">
    <dataValidation type="list" allowBlank="1" sqref="I5:I15" xr:uid="{00000000-0002-0000-0200-000000000000}">
      <formula1>"Pass,Fail,Not Tested"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
  <sheetViews>
    <sheetView showGridLines="0" zoomScale="60" zoomScaleNormal="60" workbookViewId="0">
      <pane ySplit="4" topLeftCell="A5" activePane="bottomLeft" state="frozen"/>
      <selection pane="bottomLeft" activeCell="O9" sqref="O9"/>
    </sheetView>
  </sheetViews>
  <sheetFormatPr defaultColWidth="8.6640625" defaultRowHeight="14.4" x14ac:dyDescent="0.3"/>
  <cols>
    <col min="1" max="1" width="12" customWidth="1"/>
    <col min="2" max="2" width="24" customWidth="1"/>
    <col min="3" max="3" width="20" customWidth="1"/>
    <col min="4" max="4" width="30" customWidth="1"/>
    <col min="5" max="6" width="26" customWidth="1"/>
    <col min="7" max="7" width="10" customWidth="1"/>
    <col min="8" max="8" width="14" customWidth="1"/>
    <col min="9" max="9" width="12" customWidth="1"/>
    <col min="10" max="10" width="24" customWidth="1"/>
  </cols>
  <sheetData>
    <row r="1" spans="1:10" ht="17.399999999999999" x14ac:dyDescent="0.3">
      <c r="A1" s="19" t="s">
        <v>15</v>
      </c>
      <c r="B1" s="19"/>
      <c r="C1" s="19"/>
      <c r="D1" s="19"/>
      <c r="E1" s="19"/>
      <c r="F1" s="19"/>
      <c r="G1" s="19"/>
      <c r="H1" s="19"/>
      <c r="I1" s="19"/>
      <c r="J1" s="19"/>
    </row>
    <row r="2" spans="1:10" x14ac:dyDescent="0.3">
      <c r="A2" s="20" t="s">
        <v>230</v>
      </c>
      <c r="B2" s="20"/>
      <c r="C2" s="20"/>
      <c r="D2" s="20"/>
      <c r="E2" s="20"/>
      <c r="F2" s="20"/>
      <c r="G2" s="20"/>
      <c r="H2" s="20"/>
      <c r="I2" s="20"/>
      <c r="J2" s="20"/>
    </row>
    <row r="4" spans="1:10" ht="30" customHeight="1" x14ac:dyDescent="0.3">
      <c r="A4" s="1" t="s">
        <v>25</v>
      </c>
      <c r="B4" s="1" t="s">
        <v>64</v>
      </c>
      <c r="C4" s="1" t="s">
        <v>65</v>
      </c>
      <c r="D4" s="1" t="s">
        <v>66</v>
      </c>
      <c r="E4" s="1" t="s">
        <v>67</v>
      </c>
      <c r="F4" s="1" t="s">
        <v>68</v>
      </c>
      <c r="G4" s="1" t="s">
        <v>33</v>
      </c>
      <c r="H4" s="1" t="s">
        <v>34</v>
      </c>
      <c r="I4" s="1" t="s">
        <v>35</v>
      </c>
      <c r="J4" s="1" t="s">
        <v>69</v>
      </c>
    </row>
    <row r="5" spans="1:10" ht="49.5" customHeight="1" x14ac:dyDescent="0.3">
      <c r="A5" s="8" t="s">
        <v>70</v>
      </c>
      <c r="B5" s="9" t="s">
        <v>71</v>
      </c>
      <c r="C5" s="9" t="s">
        <v>72</v>
      </c>
      <c r="D5" s="9" t="s">
        <v>271</v>
      </c>
      <c r="E5" s="9" t="s">
        <v>274</v>
      </c>
      <c r="F5" s="12" t="s">
        <v>326</v>
      </c>
      <c r="G5" s="12" t="s">
        <v>269</v>
      </c>
      <c r="H5" s="12" t="s">
        <v>251</v>
      </c>
      <c r="I5" s="11" t="s">
        <v>270</v>
      </c>
      <c r="J5" s="12" t="s">
        <v>336</v>
      </c>
    </row>
    <row r="6" spans="1:10" ht="49.5" customHeight="1" x14ac:dyDescent="0.3">
      <c r="A6" s="8" t="s">
        <v>73</v>
      </c>
      <c r="B6" s="9" t="s">
        <v>74</v>
      </c>
      <c r="C6" s="9" t="s">
        <v>72</v>
      </c>
      <c r="D6" s="9" t="s">
        <v>272</v>
      </c>
      <c r="E6" s="9" t="s">
        <v>274</v>
      </c>
      <c r="F6" s="12" t="s">
        <v>327</v>
      </c>
      <c r="G6" s="12" t="s">
        <v>244</v>
      </c>
      <c r="H6" s="12" t="s">
        <v>251</v>
      </c>
      <c r="I6" s="11" t="s">
        <v>270</v>
      </c>
      <c r="J6" s="12" t="s">
        <v>337</v>
      </c>
    </row>
    <row r="7" spans="1:10" ht="49.5" customHeight="1" x14ac:dyDescent="0.3">
      <c r="A7" s="8" t="s">
        <v>75</v>
      </c>
      <c r="B7" s="9" t="s">
        <v>76</v>
      </c>
      <c r="C7" s="9" t="s">
        <v>72</v>
      </c>
      <c r="D7" s="9" t="s">
        <v>272</v>
      </c>
      <c r="E7" s="9" t="s">
        <v>274</v>
      </c>
      <c r="F7" s="12" t="s">
        <v>328</v>
      </c>
      <c r="G7" s="12" t="s">
        <v>269</v>
      </c>
      <c r="H7" s="12" t="s">
        <v>251</v>
      </c>
      <c r="I7" s="11" t="s">
        <v>270</v>
      </c>
      <c r="J7" s="12" t="s">
        <v>338</v>
      </c>
    </row>
    <row r="8" spans="1:10" ht="49.5" customHeight="1" x14ac:dyDescent="0.3">
      <c r="A8" s="8" t="s">
        <v>77</v>
      </c>
      <c r="B8" s="9" t="s">
        <v>78</v>
      </c>
      <c r="C8" s="9" t="s">
        <v>72</v>
      </c>
      <c r="D8" s="9" t="s">
        <v>272</v>
      </c>
      <c r="E8" s="9" t="s">
        <v>274</v>
      </c>
      <c r="F8" s="12" t="s">
        <v>329</v>
      </c>
      <c r="G8" s="12" t="s">
        <v>244</v>
      </c>
      <c r="H8" s="12" t="s">
        <v>251</v>
      </c>
      <c r="I8" s="11" t="s">
        <v>270</v>
      </c>
      <c r="J8" s="12" t="s">
        <v>339</v>
      </c>
    </row>
    <row r="9" spans="1:10" ht="49.5" customHeight="1" x14ac:dyDescent="0.3">
      <c r="A9" s="8" t="s">
        <v>79</v>
      </c>
      <c r="B9" s="9" t="s">
        <v>80</v>
      </c>
      <c r="C9" s="9" t="s">
        <v>72</v>
      </c>
      <c r="D9" s="9" t="s">
        <v>273</v>
      </c>
      <c r="E9" s="9" t="s">
        <v>274</v>
      </c>
      <c r="F9" s="12" t="s">
        <v>330</v>
      </c>
      <c r="G9" s="12" t="s">
        <v>301</v>
      </c>
      <c r="H9" s="12" t="s">
        <v>251</v>
      </c>
      <c r="I9" s="11" t="s">
        <v>270</v>
      </c>
      <c r="J9" s="12" t="s">
        <v>340</v>
      </c>
    </row>
    <row r="10" spans="1:10" ht="49.5" customHeight="1" x14ac:dyDescent="0.3">
      <c r="A10" s="8" t="s">
        <v>81</v>
      </c>
      <c r="B10" s="9" t="s">
        <v>82</v>
      </c>
      <c r="C10" s="9" t="s">
        <v>72</v>
      </c>
      <c r="D10" s="9" t="s">
        <v>272</v>
      </c>
      <c r="E10" s="9" t="s">
        <v>274</v>
      </c>
      <c r="F10" s="12" t="s">
        <v>331</v>
      </c>
      <c r="G10" s="12" t="s">
        <v>244</v>
      </c>
      <c r="H10" s="12" t="s">
        <v>251</v>
      </c>
      <c r="I10" s="11" t="s">
        <v>270</v>
      </c>
      <c r="J10" s="12" t="s">
        <v>341</v>
      </c>
    </row>
    <row r="11" spans="1:10" ht="49.5" customHeight="1" x14ac:dyDescent="0.3">
      <c r="A11" s="8" t="s">
        <v>83</v>
      </c>
      <c r="B11" s="9" t="s">
        <v>84</v>
      </c>
      <c r="C11" s="9" t="s">
        <v>72</v>
      </c>
      <c r="D11" s="9" t="s">
        <v>272</v>
      </c>
      <c r="E11" s="9" t="s">
        <v>274</v>
      </c>
      <c r="F11" s="12" t="s">
        <v>332</v>
      </c>
      <c r="G11" s="12" t="s">
        <v>244</v>
      </c>
      <c r="H11" s="12" t="s">
        <v>251</v>
      </c>
      <c r="I11" s="11" t="s">
        <v>270</v>
      </c>
      <c r="J11" s="12" t="s">
        <v>342</v>
      </c>
    </row>
    <row r="12" spans="1:10" ht="49.5" customHeight="1" x14ac:dyDescent="0.3">
      <c r="A12" s="8" t="s">
        <v>85</v>
      </c>
      <c r="B12" s="9" t="s">
        <v>86</v>
      </c>
      <c r="C12" s="9" t="s">
        <v>72</v>
      </c>
      <c r="D12" s="9" t="s">
        <v>272</v>
      </c>
      <c r="E12" s="9" t="s">
        <v>274</v>
      </c>
      <c r="F12" s="12" t="s">
        <v>333</v>
      </c>
      <c r="G12" s="12" t="s">
        <v>244</v>
      </c>
      <c r="H12" s="12" t="s">
        <v>251</v>
      </c>
      <c r="I12" s="11" t="s">
        <v>270</v>
      </c>
      <c r="J12" s="12" t="s">
        <v>343</v>
      </c>
    </row>
    <row r="13" spans="1:10" ht="49.5" customHeight="1" x14ac:dyDescent="0.3">
      <c r="A13" s="8" t="s">
        <v>87</v>
      </c>
      <c r="B13" s="9" t="s">
        <v>88</v>
      </c>
      <c r="C13" s="9" t="s">
        <v>72</v>
      </c>
      <c r="D13" s="9" t="s">
        <v>272</v>
      </c>
      <c r="E13" s="9" t="s">
        <v>274</v>
      </c>
      <c r="F13" s="12" t="s">
        <v>334</v>
      </c>
      <c r="G13" s="12" t="s">
        <v>301</v>
      </c>
      <c r="H13" s="12" t="s">
        <v>251</v>
      </c>
      <c r="I13" s="11" t="s">
        <v>270</v>
      </c>
      <c r="J13" s="12" t="s">
        <v>344</v>
      </c>
    </row>
    <row r="14" spans="1:10" ht="49.5" customHeight="1" x14ac:dyDescent="0.3">
      <c r="A14" s="8" t="s">
        <v>89</v>
      </c>
      <c r="B14" s="9" t="s">
        <v>90</v>
      </c>
      <c r="C14" s="9" t="s">
        <v>72</v>
      </c>
      <c r="D14" s="9" t="s">
        <v>272</v>
      </c>
      <c r="E14" s="9" t="s">
        <v>274</v>
      </c>
      <c r="F14" s="12" t="s">
        <v>335</v>
      </c>
      <c r="G14" s="12" t="s">
        <v>269</v>
      </c>
      <c r="H14" s="12" t="s">
        <v>251</v>
      </c>
      <c r="I14" s="11" t="s">
        <v>270</v>
      </c>
      <c r="J14" s="12" t="s">
        <v>345</v>
      </c>
    </row>
  </sheetData>
  <mergeCells count="2">
    <mergeCell ref="A1:J1"/>
    <mergeCell ref="A2:J2"/>
  </mergeCells>
  <dataValidations count="1">
    <dataValidation type="list" allowBlank="1" sqref="G5:G14" xr:uid="{00000000-0002-0000-0300-000000000000}">
      <formula1>"Pass,Fail,Partial"</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5"/>
  <sheetViews>
    <sheetView showGridLines="0" zoomScale="80" zoomScaleNormal="80" workbookViewId="0">
      <pane ySplit="4" topLeftCell="A5" activePane="bottomLeft" state="frozen"/>
      <selection pane="bottomLeft" activeCell="F6" sqref="F6"/>
    </sheetView>
  </sheetViews>
  <sheetFormatPr defaultColWidth="8.6640625" defaultRowHeight="14.4" x14ac:dyDescent="0.3"/>
  <cols>
    <col min="1" max="1" width="12" customWidth="1"/>
    <col min="2" max="2" width="14" customWidth="1"/>
    <col min="3" max="3" width="26" customWidth="1"/>
    <col min="4" max="4" width="18" customWidth="1"/>
    <col min="5" max="5" width="30" customWidth="1"/>
    <col min="6" max="6" width="18" customWidth="1"/>
    <col min="7" max="8" width="26" customWidth="1"/>
    <col min="9" max="9" width="10" customWidth="1"/>
    <col min="10" max="10" width="14" customWidth="1"/>
    <col min="11" max="11" width="12" customWidth="1"/>
    <col min="12" max="12" width="22" customWidth="1"/>
  </cols>
  <sheetData>
    <row r="1" spans="1:12" ht="17.399999999999999" x14ac:dyDescent="0.3">
      <c r="A1" s="19" t="s">
        <v>16</v>
      </c>
      <c r="B1" s="19"/>
      <c r="C1" s="19"/>
      <c r="D1" s="19"/>
      <c r="E1" s="19"/>
      <c r="F1" s="19"/>
      <c r="G1" s="19"/>
      <c r="H1" s="19"/>
      <c r="I1" s="19"/>
      <c r="J1" s="19"/>
      <c r="K1" s="19"/>
      <c r="L1" s="19"/>
    </row>
    <row r="2" spans="1:12" x14ac:dyDescent="0.3">
      <c r="A2" s="20" t="s">
        <v>231</v>
      </c>
      <c r="B2" s="20"/>
      <c r="C2" s="20"/>
      <c r="D2" s="20"/>
      <c r="E2" s="20"/>
      <c r="F2" s="20"/>
      <c r="G2" s="20"/>
      <c r="H2" s="20"/>
      <c r="I2" s="20"/>
      <c r="J2" s="20"/>
      <c r="K2" s="20"/>
      <c r="L2" s="20"/>
    </row>
    <row r="4" spans="1:12" ht="30" customHeight="1" x14ac:dyDescent="0.3">
      <c r="A4" s="1" t="s">
        <v>25</v>
      </c>
      <c r="B4" s="1" t="s">
        <v>26</v>
      </c>
      <c r="C4" s="1" t="s">
        <v>27</v>
      </c>
      <c r="D4" s="1" t="s">
        <v>28</v>
      </c>
      <c r="E4" s="1" t="s">
        <v>29</v>
      </c>
      <c r="F4" s="1" t="s">
        <v>30</v>
      </c>
      <c r="G4" s="1" t="s">
        <v>31</v>
      </c>
      <c r="H4" s="1" t="s">
        <v>32</v>
      </c>
      <c r="I4" s="1" t="s">
        <v>33</v>
      </c>
      <c r="J4" s="1" t="s">
        <v>34</v>
      </c>
      <c r="K4" s="1" t="s">
        <v>35</v>
      </c>
      <c r="L4" s="1" t="s">
        <v>36</v>
      </c>
    </row>
    <row r="5" spans="1:12" ht="60" customHeight="1" x14ac:dyDescent="0.3">
      <c r="A5" s="8" t="s">
        <v>91</v>
      </c>
      <c r="B5" s="8" t="s">
        <v>92</v>
      </c>
      <c r="C5" s="9" t="s">
        <v>93</v>
      </c>
      <c r="D5" s="9" t="s">
        <v>94</v>
      </c>
      <c r="E5" s="9" t="s">
        <v>95</v>
      </c>
      <c r="F5" s="9" t="s">
        <v>96</v>
      </c>
      <c r="G5" s="9" t="s">
        <v>276</v>
      </c>
      <c r="H5" s="12" t="s">
        <v>275</v>
      </c>
      <c r="I5" s="11" t="s">
        <v>244</v>
      </c>
      <c r="J5" s="11" t="s">
        <v>277</v>
      </c>
      <c r="K5" s="11" t="s">
        <v>278</v>
      </c>
      <c r="L5" s="12" t="s">
        <v>279</v>
      </c>
    </row>
    <row r="6" spans="1:12" ht="60" customHeight="1" x14ac:dyDescent="0.3">
      <c r="A6" s="8" t="s">
        <v>97</v>
      </c>
      <c r="B6" s="8" t="s">
        <v>92</v>
      </c>
      <c r="C6" s="9" t="s">
        <v>98</v>
      </c>
      <c r="D6" s="9" t="s">
        <v>99</v>
      </c>
      <c r="E6" s="9" t="s">
        <v>100</v>
      </c>
      <c r="F6" s="9" t="s">
        <v>101</v>
      </c>
      <c r="G6" s="9" t="s">
        <v>284</v>
      </c>
      <c r="H6" s="12" t="s">
        <v>280</v>
      </c>
      <c r="I6" s="11" t="s">
        <v>244</v>
      </c>
      <c r="J6" s="11" t="s">
        <v>277</v>
      </c>
      <c r="K6" s="11" t="s">
        <v>278</v>
      </c>
      <c r="L6" s="12" t="s">
        <v>281</v>
      </c>
    </row>
    <row r="7" spans="1:12" ht="60" customHeight="1" x14ac:dyDescent="0.3">
      <c r="A7" s="8" t="s">
        <v>102</v>
      </c>
      <c r="B7" s="8" t="s">
        <v>103</v>
      </c>
      <c r="C7" s="9" t="s">
        <v>104</v>
      </c>
      <c r="D7" s="9" t="s">
        <v>105</v>
      </c>
      <c r="E7" s="9" t="s">
        <v>282</v>
      </c>
      <c r="F7" s="9" t="s">
        <v>292</v>
      </c>
      <c r="G7" s="9" t="s">
        <v>285</v>
      </c>
      <c r="H7" s="12" t="s">
        <v>283</v>
      </c>
      <c r="I7" s="11" t="s">
        <v>244</v>
      </c>
      <c r="J7" s="11" t="s">
        <v>277</v>
      </c>
      <c r="K7" s="11" t="s">
        <v>278</v>
      </c>
      <c r="L7" s="12" t="s">
        <v>286</v>
      </c>
    </row>
    <row r="8" spans="1:12" ht="60" customHeight="1" x14ac:dyDescent="0.3">
      <c r="A8" s="8" t="s">
        <v>106</v>
      </c>
      <c r="B8" s="8" t="s">
        <v>103</v>
      </c>
      <c r="C8" s="9" t="s">
        <v>107</v>
      </c>
      <c r="D8" s="9" t="s">
        <v>108</v>
      </c>
      <c r="E8" s="9" t="s">
        <v>287</v>
      </c>
      <c r="F8" s="9" t="s">
        <v>109</v>
      </c>
      <c r="G8" s="9" t="s">
        <v>110</v>
      </c>
      <c r="H8" s="12" t="s">
        <v>288</v>
      </c>
      <c r="I8" s="11" t="s">
        <v>244</v>
      </c>
      <c r="J8" s="11" t="s">
        <v>277</v>
      </c>
      <c r="K8" s="11" t="s">
        <v>278</v>
      </c>
      <c r="L8" s="12" t="s">
        <v>289</v>
      </c>
    </row>
    <row r="9" spans="1:12" ht="60" customHeight="1" x14ac:dyDescent="0.3">
      <c r="A9" s="8" t="s">
        <v>111</v>
      </c>
      <c r="B9" s="8" t="s">
        <v>112</v>
      </c>
      <c r="C9" s="9" t="s">
        <v>113</v>
      </c>
      <c r="D9" s="9" t="s">
        <v>114</v>
      </c>
      <c r="E9" s="9" t="s">
        <v>115</v>
      </c>
      <c r="F9" s="9" t="s">
        <v>116</v>
      </c>
      <c r="G9" s="9" t="s">
        <v>117</v>
      </c>
      <c r="H9" s="12" t="s">
        <v>290</v>
      </c>
      <c r="I9" s="11" t="s">
        <v>244</v>
      </c>
      <c r="J9" s="11" t="s">
        <v>277</v>
      </c>
      <c r="K9" s="11" t="s">
        <v>278</v>
      </c>
      <c r="L9" s="12" t="s">
        <v>291</v>
      </c>
    </row>
    <row r="10" spans="1:12" ht="39.75" customHeight="1" x14ac:dyDescent="0.3">
      <c r="A10" s="10"/>
      <c r="B10" s="10"/>
      <c r="C10" s="10"/>
      <c r="D10" s="10"/>
      <c r="E10" s="10"/>
      <c r="F10" s="10"/>
      <c r="G10" s="10"/>
      <c r="H10" s="15"/>
      <c r="I10" s="15"/>
      <c r="J10" s="15"/>
      <c r="K10" s="15"/>
      <c r="L10" s="15"/>
    </row>
    <row r="11" spans="1:12" ht="39.75" customHeight="1" x14ac:dyDescent="0.3">
      <c r="A11" s="10"/>
      <c r="B11" s="10"/>
      <c r="C11" s="10"/>
      <c r="D11" s="10"/>
      <c r="E11" s="10"/>
      <c r="F11" s="10"/>
      <c r="G11" s="10"/>
      <c r="H11" s="15"/>
      <c r="I11" s="15"/>
      <c r="J11" s="15"/>
      <c r="K11" s="15"/>
      <c r="L11" s="15"/>
    </row>
    <row r="12" spans="1:12" ht="39.75" customHeight="1" x14ac:dyDescent="0.3">
      <c r="A12" s="10"/>
      <c r="B12" s="10"/>
      <c r="C12" s="10"/>
      <c r="D12" s="10"/>
      <c r="E12" s="10"/>
      <c r="F12" s="10"/>
      <c r="G12" s="10"/>
      <c r="H12" s="15"/>
      <c r="I12" s="15"/>
      <c r="J12" s="15"/>
      <c r="K12" s="15"/>
      <c r="L12" s="15"/>
    </row>
    <row r="13" spans="1:12" ht="39.75" customHeight="1" x14ac:dyDescent="0.3">
      <c r="A13" s="10"/>
      <c r="B13" s="10"/>
      <c r="C13" s="10"/>
      <c r="D13" s="10"/>
      <c r="E13" s="10"/>
      <c r="F13" s="10"/>
      <c r="G13" s="10"/>
      <c r="H13" s="15"/>
      <c r="I13" s="15"/>
      <c r="J13" s="15"/>
      <c r="K13" s="15"/>
      <c r="L13" s="15"/>
    </row>
    <row r="14" spans="1:12" ht="39.75" customHeight="1" x14ac:dyDescent="0.3">
      <c r="A14" s="10"/>
      <c r="B14" s="10"/>
      <c r="C14" s="10"/>
      <c r="D14" s="10"/>
      <c r="E14" s="10"/>
      <c r="F14" s="10"/>
      <c r="G14" s="10"/>
      <c r="H14" s="15"/>
      <c r="I14" s="15"/>
      <c r="J14" s="15"/>
      <c r="K14" s="15"/>
      <c r="L14" s="15"/>
    </row>
    <row r="15" spans="1:12" ht="39.75" customHeight="1" x14ac:dyDescent="0.3">
      <c r="A15" s="10"/>
      <c r="B15" s="10"/>
      <c r="C15" s="10"/>
      <c r="D15" s="10"/>
      <c r="E15" s="10"/>
      <c r="F15" s="10"/>
      <c r="G15" s="10"/>
      <c r="H15" s="15"/>
      <c r="I15" s="15"/>
      <c r="J15" s="15"/>
      <c r="K15" s="15"/>
      <c r="L15" s="15"/>
    </row>
  </sheetData>
  <mergeCells count="2">
    <mergeCell ref="A1:L1"/>
    <mergeCell ref="A2:L2"/>
  </mergeCells>
  <dataValidations count="1">
    <dataValidation type="list" allowBlank="1" sqref="I5:I15" xr:uid="{00000000-0002-0000-0400-000000000000}">
      <formula1>"Pass,Fail,Not Tested"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4"/>
  <sheetViews>
    <sheetView showGridLines="0" zoomScale="60" zoomScaleNormal="60" workbookViewId="0">
      <pane ySplit="4" topLeftCell="A5" activePane="bottomLeft" state="frozen"/>
      <selection pane="bottomLeft" activeCell="F8" sqref="F8"/>
    </sheetView>
  </sheetViews>
  <sheetFormatPr defaultColWidth="8.6640625" defaultRowHeight="14.4" x14ac:dyDescent="0.3"/>
  <cols>
    <col min="1" max="1" width="12" customWidth="1"/>
    <col min="2" max="2" width="24" customWidth="1"/>
    <col min="3" max="3" width="20" customWidth="1"/>
    <col min="4" max="4" width="30" customWidth="1"/>
    <col min="5" max="6" width="26" customWidth="1"/>
    <col min="7" max="7" width="10" customWidth="1"/>
    <col min="8" max="8" width="14" customWidth="1"/>
    <col min="9" max="9" width="12" customWidth="1"/>
    <col min="10" max="10" width="24" customWidth="1"/>
  </cols>
  <sheetData>
    <row r="1" spans="1:10" ht="17.399999999999999" x14ac:dyDescent="0.3">
      <c r="A1" s="19" t="s">
        <v>17</v>
      </c>
      <c r="B1" s="19"/>
      <c r="C1" s="19"/>
      <c r="D1" s="19"/>
      <c r="E1" s="19"/>
      <c r="F1" s="19"/>
      <c r="G1" s="19"/>
      <c r="H1" s="19"/>
      <c r="I1" s="19"/>
      <c r="J1" s="19"/>
    </row>
    <row r="2" spans="1:10" x14ac:dyDescent="0.3">
      <c r="A2" s="20" t="s">
        <v>232</v>
      </c>
      <c r="B2" s="20"/>
      <c r="C2" s="20"/>
      <c r="D2" s="20"/>
      <c r="E2" s="20"/>
      <c r="F2" s="20"/>
      <c r="G2" s="20"/>
      <c r="H2" s="20"/>
      <c r="I2" s="20"/>
      <c r="J2" s="20"/>
    </row>
    <row r="4" spans="1:10" ht="30" customHeight="1" x14ac:dyDescent="0.3">
      <c r="A4" s="1" t="s">
        <v>25</v>
      </c>
      <c r="B4" s="1" t="s">
        <v>64</v>
      </c>
      <c r="C4" s="1" t="s">
        <v>65</v>
      </c>
      <c r="D4" s="1" t="s">
        <v>66</v>
      </c>
      <c r="E4" s="1" t="s">
        <v>67</v>
      </c>
      <c r="F4" s="1" t="s">
        <v>68</v>
      </c>
      <c r="G4" s="1" t="s">
        <v>33</v>
      </c>
      <c r="H4" s="1" t="s">
        <v>34</v>
      </c>
      <c r="I4" s="1" t="s">
        <v>35</v>
      </c>
      <c r="J4" s="1" t="s">
        <v>69</v>
      </c>
    </row>
    <row r="5" spans="1:10" ht="49.5" customHeight="1" x14ac:dyDescent="0.3">
      <c r="A5" s="8" t="s">
        <v>118</v>
      </c>
      <c r="B5" s="9" t="s">
        <v>71</v>
      </c>
      <c r="C5" s="9" t="s">
        <v>119</v>
      </c>
      <c r="D5" s="24" t="s">
        <v>271</v>
      </c>
      <c r="E5" s="9" t="s">
        <v>274</v>
      </c>
      <c r="F5" s="12" t="s">
        <v>346</v>
      </c>
      <c r="G5" s="11" t="s">
        <v>244</v>
      </c>
      <c r="H5" s="11" t="s">
        <v>294</v>
      </c>
      <c r="I5" s="13">
        <v>46267</v>
      </c>
      <c r="J5" s="12" t="s">
        <v>347</v>
      </c>
    </row>
    <row r="6" spans="1:10" ht="49.5" customHeight="1" x14ac:dyDescent="0.3">
      <c r="A6" s="8" t="s">
        <v>120</v>
      </c>
      <c r="B6" s="9" t="s">
        <v>74</v>
      </c>
      <c r="C6" s="9" t="s">
        <v>119</v>
      </c>
      <c r="D6" s="24" t="s">
        <v>271</v>
      </c>
      <c r="E6" s="24" t="s">
        <v>274</v>
      </c>
      <c r="F6" s="12" t="s">
        <v>348</v>
      </c>
      <c r="G6" s="11" t="s">
        <v>244</v>
      </c>
      <c r="H6" s="11" t="s">
        <v>294</v>
      </c>
      <c r="I6" s="13">
        <v>46267</v>
      </c>
      <c r="J6" s="12" t="s">
        <v>349</v>
      </c>
    </row>
    <row r="7" spans="1:10" ht="49.5" customHeight="1" x14ac:dyDescent="0.3">
      <c r="A7" s="8" t="s">
        <v>121</v>
      </c>
      <c r="B7" s="9" t="s">
        <v>76</v>
      </c>
      <c r="C7" s="9" t="s">
        <v>119</v>
      </c>
      <c r="D7" s="24" t="s">
        <v>271</v>
      </c>
      <c r="E7" s="24" t="s">
        <v>274</v>
      </c>
      <c r="F7" s="12" t="s">
        <v>350</v>
      </c>
      <c r="G7" s="11" t="s">
        <v>269</v>
      </c>
      <c r="H7" s="11" t="s">
        <v>294</v>
      </c>
      <c r="I7" s="13">
        <v>46267</v>
      </c>
      <c r="J7" s="12" t="s">
        <v>351</v>
      </c>
    </row>
    <row r="8" spans="1:10" ht="49.5" customHeight="1" x14ac:dyDescent="0.3">
      <c r="A8" s="8" t="s">
        <v>122</v>
      </c>
      <c r="B8" s="9" t="s">
        <v>78</v>
      </c>
      <c r="C8" s="9" t="s">
        <v>119</v>
      </c>
      <c r="D8" s="24" t="s">
        <v>271</v>
      </c>
      <c r="E8" s="24" t="s">
        <v>274</v>
      </c>
      <c r="F8" s="12" t="s">
        <v>352</v>
      </c>
      <c r="G8" s="11" t="s">
        <v>244</v>
      </c>
      <c r="H8" s="11" t="s">
        <v>294</v>
      </c>
      <c r="I8" s="13">
        <v>46267</v>
      </c>
      <c r="J8" s="12" t="s">
        <v>353</v>
      </c>
    </row>
    <row r="9" spans="1:10" ht="49.5" customHeight="1" x14ac:dyDescent="0.3">
      <c r="A9" s="8" t="s">
        <v>123</v>
      </c>
      <c r="B9" s="9" t="s">
        <v>80</v>
      </c>
      <c r="C9" s="9" t="s">
        <v>119</v>
      </c>
      <c r="D9" s="24" t="s">
        <v>271</v>
      </c>
      <c r="E9" s="24" t="s">
        <v>274</v>
      </c>
      <c r="F9" s="12" t="s">
        <v>354</v>
      </c>
      <c r="G9" s="11" t="s">
        <v>244</v>
      </c>
      <c r="H9" s="11" t="s">
        <v>294</v>
      </c>
      <c r="I9" s="13">
        <v>46267</v>
      </c>
      <c r="J9" s="12" t="s">
        <v>355</v>
      </c>
    </row>
    <row r="10" spans="1:10" ht="49.5" customHeight="1" x14ac:dyDescent="0.3">
      <c r="A10" s="8" t="s">
        <v>124</v>
      </c>
      <c r="B10" s="9" t="s">
        <v>82</v>
      </c>
      <c r="C10" s="9" t="s">
        <v>119</v>
      </c>
      <c r="D10" s="24" t="s">
        <v>271</v>
      </c>
      <c r="E10" s="24" t="s">
        <v>274</v>
      </c>
      <c r="F10" s="12" t="s">
        <v>356</v>
      </c>
      <c r="G10" s="11" t="s">
        <v>244</v>
      </c>
      <c r="H10" s="11" t="s">
        <v>294</v>
      </c>
      <c r="I10" s="13">
        <v>46267</v>
      </c>
      <c r="J10" s="12" t="s">
        <v>357</v>
      </c>
    </row>
    <row r="11" spans="1:10" ht="49.5" customHeight="1" x14ac:dyDescent="0.3">
      <c r="A11" s="8" t="s">
        <v>125</v>
      </c>
      <c r="B11" s="9" t="s">
        <v>84</v>
      </c>
      <c r="C11" s="9" t="s">
        <v>119</v>
      </c>
      <c r="D11" s="24" t="s">
        <v>271</v>
      </c>
      <c r="E11" s="24" t="s">
        <v>274</v>
      </c>
      <c r="F11" s="12" t="s">
        <v>358</v>
      </c>
      <c r="G11" s="11" t="s">
        <v>269</v>
      </c>
      <c r="H11" s="11" t="s">
        <v>294</v>
      </c>
      <c r="I11" s="13">
        <v>46267</v>
      </c>
      <c r="J11" s="12" t="s">
        <v>359</v>
      </c>
    </row>
    <row r="12" spans="1:10" ht="49.5" customHeight="1" x14ac:dyDescent="0.3">
      <c r="A12" s="8" t="s">
        <v>126</v>
      </c>
      <c r="B12" s="9" t="s">
        <v>86</v>
      </c>
      <c r="C12" s="9" t="s">
        <v>119</v>
      </c>
      <c r="D12" s="24" t="s">
        <v>271</v>
      </c>
      <c r="E12" s="24" t="s">
        <v>274</v>
      </c>
      <c r="F12" s="12" t="s">
        <v>360</v>
      </c>
      <c r="G12" s="11" t="s">
        <v>244</v>
      </c>
      <c r="H12" s="11" t="s">
        <v>294</v>
      </c>
      <c r="I12" s="13">
        <v>46267</v>
      </c>
      <c r="J12" s="12" t="s">
        <v>361</v>
      </c>
    </row>
    <row r="13" spans="1:10" ht="49.5" customHeight="1" x14ac:dyDescent="0.3">
      <c r="A13" s="8" t="s">
        <v>127</v>
      </c>
      <c r="B13" s="9" t="s">
        <v>88</v>
      </c>
      <c r="C13" s="9" t="s">
        <v>119</v>
      </c>
      <c r="D13" s="24" t="s">
        <v>271</v>
      </c>
      <c r="E13" s="24" t="s">
        <v>274</v>
      </c>
      <c r="F13" s="12" t="s">
        <v>362</v>
      </c>
      <c r="G13" s="11" t="s">
        <v>244</v>
      </c>
      <c r="H13" s="11" t="s">
        <v>294</v>
      </c>
      <c r="I13" s="13">
        <v>46267</v>
      </c>
      <c r="J13" s="12" t="s">
        <v>363</v>
      </c>
    </row>
    <row r="14" spans="1:10" ht="49.5" customHeight="1" x14ac:dyDescent="0.3">
      <c r="A14" s="8" t="s">
        <v>128</v>
      </c>
      <c r="B14" s="9" t="s">
        <v>90</v>
      </c>
      <c r="C14" s="9" t="s">
        <v>119</v>
      </c>
      <c r="D14" s="24" t="s">
        <v>271</v>
      </c>
      <c r="E14" s="24" t="s">
        <v>274</v>
      </c>
      <c r="F14" s="12" t="s">
        <v>364</v>
      </c>
      <c r="G14" s="11" t="s">
        <v>269</v>
      </c>
      <c r="H14" s="11" t="s">
        <v>294</v>
      </c>
      <c r="I14" s="13">
        <v>46267</v>
      </c>
      <c r="J14" s="12" t="s">
        <v>365</v>
      </c>
    </row>
  </sheetData>
  <mergeCells count="2">
    <mergeCell ref="A1:J1"/>
    <mergeCell ref="A2:J2"/>
  </mergeCells>
  <dataValidations count="1">
    <dataValidation type="list" allowBlank="1" sqref="G5:G14" xr:uid="{00000000-0002-0000-0500-000000000000}">
      <formula1>"Pass,Fail,Partial"</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
  <sheetViews>
    <sheetView showGridLines="0" zoomScale="90" zoomScaleNormal="90" workbookViewId="0">
      <pane ySplit="4" topLeftCell="A6" activePane="bottomLeft" state="frozen"/>
      <selection pane="bottomLeft" activeCell="H8" sqref="H8"/>
    </sheetView>
  </sheetViews>
  <sheetFormatPr defaultColWidth="8.6640625" defaultRowHeight="14.4" x14ac:dyDescent="0.3"/>
  <cols>
    <col min="1" max="1" width="12" customWidth="1"/>
    <col min="2" max="2" width="14" customWidth="1"/>
    <col min="3" max="3" width="26" customWidth="1"/>
    <col min="4" max="4" width="18" customWidth="1"/>
    <col min="5" max="5" width="30" customWidth="1"/>
    <col min="6" max="6" width="18" customWidth="1"/>
    <col min="7" max="8" width="26" customWidth="1"/>
    <col min="9" max="9" width="10" customWidth="1"/>
    <col min="10" max="10" width="14" customWidth="1"/>
    <col min="11" max="11" width="12" customWidth="1"/>
    <col min="12" max="12" width="22" customWidth="1"/>
  </cols>
  <sheetData>
    <row r="1" spans="1:12" ht="17.399999999999999" x14ac:dyDescent="0.3">
      <c r="A1" s="19" t="s">
        <v>18</v>
      </c>
      <c r="B1" s="19"/>
      <c r="C1" s="19"/>
      <c r="D1" s="19"/>
      <c r="E1" s="19"/>
      <c r="F1" s="19"/>
      <c r="G1" s="19"/>
      <c r="H1" s="19"/>
      <c r="I1" s="19"/>
      <c r="J1" s="19"/>
      <c r="K1" s="19"/>
      <c r="L1" s="19"/>
    </row>
    <row r="2" spans="1:12" x14ac:dyDescent="0.3">
      <c r="A2" s="20" t="s">
        <v>233</v>
      </c>
      <c r="B2" s="20"/>
      <c r="C2" s="20"/>
      <c r="D2" s="20"/>
      <c r="E2" s="20"/>
      <c r="F2" s="20"/>
      <c r="G2" s="20"/>
      <c r="H2" s="20"/>
      <c r="I2" s="20"/>
      <c r="J2" s="20"/>
      <c r="K2" s="20"/>
      <c r="L2" s="20"/>
    </row>
    <row r="4" spans="1:12" ht="30" customHeight="1" x14ac:dyDescent="0.3">
      <c r="A4" s="1" t="s">
        <v>25</v>
      </c>
      <c r="B4" s="1" t="s">
        <v>26</v>
      </c>
      <c r="C4" s="1" t="s">
        <v>27</v>
      </c>
      <c r="D4" s="1" t="s">
        <v>28</v>
      </c>
      <c r="E4" s="1" t="s">
        <v>29</v>
      </c>
      <c r="F4" s="1" t="s">
        <v>30</v>
      </c>
      <c r="G4" s="1" t="s">
        <v>31</v>
      </c>
      <c r="H4" s="1" t="s">
        <v>32</v>
      </c>
      <c r="I4" s="1" t="s">
        <v>33</v>
      </c>
      <c r="J4" s="1" t="s">
        <v>34</v>
      </c>
      <c r="K4" s="1" t="s">
        <v>35</v>
      </c>
      <c r="L4" s="1" t="s">
        <v>36</v>
      </c>
    </row>
    <row r="5" spans="1:12" ht="60" customHeight="1" x14ac:dyDescent="0.3">
      <c r="A5" s="8" t="s">
        <v>129</v>
      </c>
      <c r="B5" s="8" t="s">
        <v>130</v>
      </c>
      <c r="C5" s="9" t="s">
        <v>131</v>
      </c>
      <c r="D5" s="9" t="s">
        <v>132</v>
      </c>
      <c r="E5" s="9" t="s">
        <v>133</v>
      </c>
      <c r="F5" s="9" t="s">
        <v>299</v>
      </c>
      <c r="G5" s="9" t="s">
        <v>134</v>
      </c>
      <c r="H5" s="12" t="s">
        <v>293</v>
      </c>
      <c r="I5" s="11" t="s">
        <v>244</v>
      </c>
      <c r="J5" s="11" t="s">
        <v>294</v>
      </c>
      <c r="K5" s="11" t="s">
        <v>295</v>
      </c>
      <c r="L5" s="12" t="s">
        <v>296</v>
      </c>
    </row>
    <row r="6" spans="1:12" ht="60" customHeight="1" x14ac:dyDescent="0.3">
      <c r="A6" s="8" t="s">
        <v>135</v>
      </c>
      <c r="B6" s="8" t="s">
        <v>130</v>
      </c>
      <c r="C6" s="9" t="s">
        <v>136</v>
      </c>
      <c r="D6" s="9" t="s">
        <v>132</v>
      </c>
      <c r="E6" s="9" t="s">
        <v>137</v>
      </c>
      <c r="F6" s="9" t="s">
        <v>138</v>
      </c>
      <c r="G6" s="9" t="s">
        <v>139</v>
      </c>
      <c r="H6" s="12" t="s">
        <v>297</v>
      </c>
      <c r="I6" s="11" t="s">
        <v>244</v>
      </c>
      <c r="J6" s="11" t="s">
        <v>294</v>
      </c>
      <c r="K6" s="11" t="s">
        <v>295</v>
      </c>
      <c r="L6" s="12" t="s">
        <v>298</v>
      </c>
    </row>
    <row r="7" spans="1:12" ht="60" customHeight="1" x14ac:dyDescent="0.3">
      <c r="A7" s="8" t="s">
        <v>140</v>
      </c>
      <c r="B7" s="8" t="s">
        <v>141</v>
      </c>
      <c r="C7" s="9" t="s">
        <v>142</v>
      </c>
      <c r="D7" s="9" t="s">
        <v>143</v>
      </c>
      <c r="E7" s="9" t="s">
        <v>144</v>
      </c>
      <c r="F7" s="9" t="s">
        <v>145</v>
      </c>
      <c r="G7" s="9" t="s">
        <v>146</v>
      </c>
      <c r="H7" s="12" t="s">
        <v>300</v>
      </c>
      <c r="I7" s="11" t="s">
        <v>301</v>
      </c>
      <c r="J7" s="11" t="s">
        <v>238</v>
      </c>
      <c r="K7" s="11" t="s">
        <v>295</v>
      </c>
      <c r="L7" s="17" t="s">
        <v>303</v>
      </c>
    </row>
    <row r="8" spans="1:12" ht="60" customHeight="1" x14ac:dyDescent="0.3">
      <c r="A8" s="8" t="s">
        <v>147</v>
      </c>
      <c r="B8" s="8" t="s">
        <v>112</v>
      </c>
      <c r="C8" s="9" t="s">
        <v>148</v>
      </c>
      <c r="D8" s="9" t="s">
        <v>149</v>
      </c>
      <c r="E8" s="9" t="s">
        <v>150</v>
      </c>
      <c r="F8" s="9" t="s">
        <v>151</v>
      </c>
      <c r="G8" s="9" t="s">
        <v>152</v>
      </c>
      <c r="H8" s="17" t="s">
        <v>302</v>
      </c>
      <c r="I8" s="18" t="s">
        <v>301</v>
      </c>
      <c r="J8" s="18" t="s">
        <v>238</v>
      </c>
      <c r="K8" s="18" t="s">
        <v>295</v>
      </c>
      <c r="L8" s="17" t="s">
        <v>304</v>
      </c>
    </row>
    <row r="9" spans="1:12" ht="60" customHeight="1" x14ac:dyDescent="0.3">
      <c r="A9" s="8" t="s">
        <v>153</v>
      </c>
      <c r="B9" s="8" t="s">
        <v>154</v>
      </c>
      <c r="C9" s="9" t="s">
        <v>155</v>
      </c>
      <c r="D9" s="9" t="s">
        <v>156</v>
      </c>
      <c r="E9" s="9" t="s">
        <v>157</v>
      </c>
      <c r="F9" s="9" t="s">
        <v>158</v>
      </c>
      <c r="G9" s="9" t="s">
        <v>159</v>
      </c>
      <c r="H9" s="17" t="s">
        <v>305</v>
      </c>
      <c r="I9" s="11" t="s">
        <v>244</v>
      </c>
      <c r="J9" s="18" t="s">
        <v>238</v>
      </c>
      <c r="K9" s="18" t="s">
        <v>295</v>
      </c>
      <c r="L9" s="17" t="s">
        <v>306</v>
      </c>
    </row>
    <row r="10" spans="1:12" ht="39.75" customHeight="1" x14ac:dyDescent="0.3">
      <c r="A10" s="10"/>
      <c r="B10" s="10"/>
      <c r="C10" s="10"/>
      <c r="D10" s="10"/>
      <c r="E10" s="10"/>
      <c r="F10" s="10"/>
      <c r="G10" s="10"/>
      <c r="H10" s="15"/>
      <c r="I10" s="15"/>
      <c r="J10" s="15"/>
      <c r="K10" s="15"/>
      <c r="L10" s="15"/>
    </row>
    <row r="11" spans="1:12" ht="39.75" customHeight="1" x14ac:dyDescent="0.3">
      <c r="A11" s="10"/>
      <c r="B11" s="10"/>
      <c r="C11" s="10"/>
      <c r="D11" s="10"/>
      <c r="E11" s="10"/>
      <c r="F11" s="10"/>
      <c r="G11" s="10"/>
      <c r="H11" s="15"/>
      <c r="I11" s="15"/>
      <c r="J11" s="15"/>
      <c r="K11" s="15"/>
      <c r="L11" s="15"/>
    </row>
    <row r="12" spans="1:12" ht="39.75" customHeight="1" x14ac:dyDescent="0.3">
      <c r="A12" s="10"/>
      <c r="B12" s="10"/>
      <c r="C12" s="10"/>
      <c r="D12" s="10"/>
      <c r="E12" s="10"/>
      <c r="F12" s="10"/>
      <c r="G12" s="10"/>
      <c r="H12" s="15"/>
      <c r="I12" s="15"/>
      <c r="J12" s="15"/>
      <c r="K12" s="15"/>
      <c r="L12" s="15"/>
    </row>
    <row r="13" spans="1:12" ht="39.75" customHeight="1" x14ac:dyDescent="0.3">
      <c r="A13" s="10"/>
      <c r="B13" s="10"/>
      <c r="C13" s="10"/>
      <c r="D13" s="10"/>
      <c r="E13" s="10"/>
      <c r="F13" s="10"/>
      <c r="G13" s="10"/>
      <c r="H13" s="15"/>
      <c r="I13" s="15"/>
      <c r="J13" s="15"/>
      <c r="K13" s="15"/>
      <c r="L13" s="15"/>
    </row>
    <row r="14" spans="1:12" ht="39.75" customHeight="1" x14ac:dyDescent="0.3">
      <c r="A14" s="10"/>
      <c r="B14" s="10"/>
      <c r="C14" s="10"/>
      <c r="D14" s="10"/>
      <c r="E14" s="10"/>
      <c r="F14" s="10"/>
      <c r="G14" s="10"/>
      <c r="H14" s="15"/>
      <c r="I14" s="15"/>
      <c r="J14" s="15"/>
      <c r="K14" s="15"/>
      <c r="L14" s="15"/>
    </row>
    <row r="15" spans="1:12" ht="39.75" customHeight="1" x14ac:dyDescent="0.3">
      <c r="A15" s="10"/>
      <c r="B15" s="10"/>
      <c r="C15" s="10"/>
      <c r="D15" s="10"/>
      <c r="E15" s="10"/>
      <c r="F15" s="10"/>
      <c r="G15" s="10"/>
      <c r="H15" s="15"/>
      <c r="I15" s="15"/>
      <c r="J15" s="15"/>
      <c r="K15" s="15"/>
      <c r="L15" s="15"/>
    </row>
    <row r="16" spans="1:12" x14ac:dyDescent="0.3">
      <c r="H16" s="16"/>
      <c r="I16" s="16"/>
      <c r="J16" s="16"/>
      <c r="K16" s="16"/>
      <c r="L16" s="16"/>
    </row>
    <row r="17" spans="8:12" x14ac:dyDescent="0.3">
      <c r="H17" s="16"/>
      <c r="I17" s="16"/>
      <c r="J17" s="16"/>
      <c r="K17" s="16"/>
      <c r="L17" s="16"/>
    </row>
    <row r="18" spans="8:12" x14ac:dyDescent="0.3">
      <c r="H18" s="16"/>
      <c r="I18" s="16"/>
      <c r="J18" s="16"/>
      <c r="K18" s="16"/>
      <c r="L18" s="16"/>
    </row>
    <row r="19" spans="8:12" x14ac:dyDescent="0.3">
      <c r="H19" s="16"/>
      <c r="I19" s="16"/>
      <c r="J19" s="16"/>
      <c r="K19" s="16"/>
      <c r="L19" s="16"/>
    </row>
  </sheetData>
  <mergeCells count="2">
    <mergeCell ref="A1:L1"/>
    <mergeCell ref="A2:L2"/>
  </mergeCells>
  <dataValidations count="1">
    <dataValidation type="list" allowBlank="1" sqref="I5:I15" xr:uid="{00000000-0002-0000-0600-000000000000}">
      <formula1>"Pass,Fail,Not Tested"</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showGridLines="0" zoomScale="60" zoomScaleNormal="60" workbookViewId="0">
      <pane ySplit="4" topLeftCell="A5" activePane="bottomLeft" state="frozen"/>
      <selection pane="bottomLeft" activeCell="F7" sqref="F7"/>
    </sheetView>
  </sheetViews>
  <sheetFormatPr defaultColWidth="8.6640625" defaultRowHeight="14.4" x14ac:dyDescent="0.3"/>
  <cols>
    <col min="1" max="1" width="12" customWidth="1"/>
    <col min="2" max="2" width="24" customWidth="1"/>
    <col min="3" max="3" width="20" customWidth="1"/>
    <col min="4" max="4" width="30" customWidth="1"/>
    <col min="5" max="6" width="26" customWidth="1"/>
    <col min="7" max="7" width="10" customWidth="1"/>
    <col min="8" max="8" width="14" customWidth="1"/>
    <col min="9" max="9" width="12" customWidth="1"/>
    <col min="10" max="10" width="24" customWidth="1"/>
  </cols>
  <sheetData>
    <row r="1" spans="1:10" ht="17.399999999999999" x14ac:dyDescent="0.3">
      <c r="A1" s="19" t="s">
        <v>19</v>
      </c>
      <c r="B1" s="19"/>
      <c r="C1" s="19"/>
      <c r="D1" s="19"/>
      <c r="E1" s="19"/>
      <c r="F1" s="19"/>
      <c r="G1" s="19"/>
      <c r="H1" s="19"/>
      <c r="I1" s="19"/>
      <c r="J1" s="19"/>
    </row>
    <row r="2" spans="1:10" x14ac:dyDescent="0.3">
      <c r="A2" s="20" t="s">
        <v>234</v>
      </c>
      <c r="B2" s="20"/>
      <c r="C2" s="20"/>
      <c r="D2" s="20"/>
      <c r="E2" s="20"/>
      <c r="F2" s="20"/>
      <c r="G2" s="20"/>
      <c r="H2" s="20"/>
      <c r="I2" s="20"/>
      <c r="J2" s="20"/>
    </row>
    <row r="4" spans="1:10" ht="30" customHeight="1" x14ac:dyDescent="0.3">
      <c r="A4" s="1" t="s">
        <v>25</v>
      </c>
      <c r="B4" s="1" t="s">
        <v>64</v>
      </c>
      <c r="C4" s="1" t="s">
        <v>65</v>
      </c>
      <c r="D4" s="1" t="s">
        <v>66</v>
      </c>
      <c r="E4" s="1" t="s">
        <v>67</v>
      </c>
      <c r="F4" s="1" t="s">
        <v>68</v>
      </c>
      <c r="G4" s="1" t="s">
        <v>33</v>
      </c>
      <c r="H4" s="1" t="s">
        <v>34</v>
      </c>
      <c r="I4" s="1" t="s">
        <v>35</v>
      </c>
      <c r="J4" s="1" t="s">
        <v>69</v>
      </c>
    </row>
    <row r="5" spans="1:10" ht="49.5" customHeight="1" x14ac:dyDescent="0.3">
      <c r="A5" s="8" t="s">
        <v>160</v>
      </c>
      <c r="B5" s="9" t="s">
        <v>71</v>
      </c>
      <c r="C5" s="9" t="s">
        <v>161</v>
      </c>
      <c r="D5" s="9" t="s">
        <v>271</v>
      </c>
      <c r="E5" s="9" t="s">
        <v>274</v>
      </c>
      <c r="F5" s="12" t="s">
        <v>366</v>
      </c>
      <c r="G5" s="11" t="s">
        <v>244</v>
      </c>
      <c r="H5" s="11" t="s">
        <v>251</v>
      </c>
      <c r="I5" s="13">
        <v>46274</v>
      </c>
      <c r="J5" s="12" t="s">
        <v>367</v>
      </c>
    </row>
    <row r="6" spans="1:10" ht="49.5" customHeight="1" x14ac:dyDescent="0.3">
      <c r="A6" s="8" t="s">
        <v>162</v>
      </c>
      <c r="B6" s="9" t="s">
        <v>74</v>
      </c>
      <c r="C6" s="9" t="s">
        <v>161</v>
      </c>
      <c r="D6" s="25" t="s">
        <v>271</v>
      </c>
      <c r="E6" s="25" t="s">
        <v>274</v>
      </c>
      <c r="F6" s="12" t="s">
        <v>368</v>
      </c>
      <c r="G6" s="11" t="s">
        <v>244</v>
      </c>
      <c r="H6" s="11" t="s">
        <v>251</v>
      </c>
      <c r="I6" s="13">
        <v>46274</v>
      </c>
      <c r="J6" s="12" t="s">
        <v>369</v>
      </c>
    </row>
    <row r="7" spans="1:10" ht="49.5" customHeight="1" x14ac:dyDescent="0.3">
      <c r="A7" s="8" t="s">
        <v>163</v>
      </c>
      <c r="B7" s="9" t="s">
        <v>76</v>
      </c>
      <c r="C7" s="9" t="s">
        <v>161</v>
      </c>
      <c r="D7" s="25" t="s">
        <v>271</v>
      </c>
      <c r="E7" s="25" t="s">
        <v>274</v>
      </c>
      <c r="F7" s="12" t="s">
        <v>370</v>
      </c>
      <c r="G7" s="11" t="s">
        <v>269</v>
      </c>
      <c r="H7" s="11" t="s">
        <v>251</v>
      </c>
      <c r="I7" s="13">
        <v>46274</v>
      </c>
      <c r="J7" s="12" t="s">
        <v>371</v>
      </c>
    </row>
    <row r="8" spans="1:10" ht="49.5" customHeight="1" x14ac:dyDescent="0.3">
      <c r="A8" s="8" t="s">
        <v>164</v>
      </c>
      <c r="B8" s="9" t="s">
        <v>78</v>
      </c>
      <c r="C8" s="9" t="s">
        <v>161</v>
      </c>
      <c r="D8" s="25" t="s">
        <v>271</v>
      </c>
      <c r="E8" s="25" t="s">
        <v>274</v>
      </c>
      <c r="F8" s="12" t="s">
        <v>372</v>
      </c>
      <c r="G8" s="11" t="s">
        <v>244</v>
      </c>
      <c r="H8" s="11" t="s">
        <v>251</v>
      </c>
      <c r="I8" s="13">
        <v>46274</v>
      </c>
      <c r="J8" s="12" t="s">
        <v>373</v>
      </c>
    </row>
    <row r="9" spans="1:10" ht="49.5" customHeight="1" x14ac:dyDescent="0.3">
      <c r="A9" s="8" t="s">
        <v>165</v>
      </c>
      <c r="B9" s="9" t="s">
        <v>80</v>
      </c>
      <c r="C9" s="9" t="s">
        <v>161</v>
      </c>
      <c r="D9" s="25" t="s">
        <v>271</v>
      </c>
      <c r="E9" s="25" t="s">
        <v>274</v>
      </c>
      <c r="F9" s="12" t="s">
        <v>374</v>
      </c>
      <c r="G9" s="11" t="s">
        <v>244</v>
      </c>
      <c r="H9" s="11" t="s">
        <v>251</v>
      </c>
      <c r="I9" s="13">
        <v>46274</v>
      </c>
      <c r="J9" s="12" t="s">
        <v>375</v>
      </c>
    </row>
    <row r="10" spans="1:10" ht="49.5" customHeight="1" x14ac:dyDescent="0.3">
      <c r="A10" s="8" t="s">
        <v>166</v>
      </c>
      <c r="B10" s="9" t="s">
        <v>82</v>
      </c>
      <c r="C10" s="9" t="s">
        <v>161</v>
      </c>
      <c r="D10" s="25" t="s">
        <v>271</v>
      </c>
      <c r="E10" s="25" t="s">
        <v>274</v>
      </c>
      <c r="F10" s="12" t="s">
        <v>376</v>
      </c>
      <c r="G10" s="11" t="s">
        <v>244</v>
      </c>
      <c r="H10" s="11" t="s">
        <v>251</v>
      </c>
      <c r="I10" s="13">
        <v>46274</v>
      </c>
      <c r="J10" s="12" t="s">
        <v>377</v>
      </c>
    </row>
    <row r="11" spans="1:10" ht="49.5" customHeight="1" x14ac:dyDescent="0.3">
      <c r="A11" s="8" t="s">
        <v>167</v>
      </c>
      <c r="B11" s="9" t="s">
        <v>84</v>
      </c>
      <c r="C11" s="9" t="s">
        <v>161</v>
      </c>
      <c r="D11" s="25" t="s">
        <v>271</v>
      </c>
      <c r="E11" s="25" t="s">
        <v>274</v>
      </c>
      <c r="F11" s="12" t="s">
        <v>378</v>
      </c>
      <c r="G11" s="11" t="s">
        <v>269</v>
      </c>
      <c r="H11" s="11" t="s">
        <v>251</v>
      </c>
      <c r="I11" s="13">
        <v>46274</v>
      </c>
      <c r="J11" s="12" t="s">
        <v>379</v>
      </c>
    </row>
    <row r="12" spans="1:10" ht="49.5" customHeight="1" x14ac:dyDescent="0.3">
      <c r="A12" s="8" t="s">
        <v>168</v>
      </c>
      <c r="B12" s="9" t="s">
        <v>86</v>
      </c>
      <c r="C12" s="9" t="s">
        <v>161</v>
      </c>
      <c r="D12" s="25" t="s">
        <v>271</v>
      </c>
      <c r="E12" s="25" t="s">
        <v>274</v>
      </c>
      <c r="F12" s="12" t="s">
        <v>380</v>
      </c>
      <c r="G12" s="11" t="s">
        <v>244</v>
      </c>
      <c r="H12" s="11" t="s">
        <v>251</v>
      </c>
      <c r="I12" s="13">
        <v>46274</v>
      </c>
      <c r="J12" s="12" t="s">
        <v>361</v>
      </c>
    </row>
    <row r="13" spans="1:10" ht="49.5" customHeight="1" x14ac:dyDescent="0.3">
      <c r="A13" s="8" t="s">
        <v>169</v>
      </c>
      <c r="B13" s="9" t="s">
        <v>88</v>
      </c>
      <c r="C13" s="9" t="s">
        <v>161</v>
      </c>
      <c r="D13" s="25" t="s">
        <v>271</v>
      </c>
      <c r="E13" s="25" t="s">
        <v>274</v>
      </c>
      <c r="F13" s="12" t="s">
        <v>381</v>
      </c>
      <c r="G13" s="11" t="s">
        <v>244</v>
      </c>
      <c r="H13" s="11" t="s">
        <v>251</v>
      </c>
      <c r="I13" s="13">
        <v>46274</v>
      </c>
      <c r="J13" s="12" t="s">
        <v>382</v>
      </c>
    </row>
    <row r="14" spans="1:10" ht="49.5" customHeight="1" x14ac:dyDescent="0.3">
      <c r="A14" s="8" t="s">
        <v>170</v>
      </c>
      <c r="B14" s="9" t="s">
        <v>90</v>
      </c>
      <c r="C14" s="9" t="s">
        <v>161</v>
      </c>
      <c r="D14" s="25" t="s">
        <v>271</v>
      </c>
      <c r="E14" s="25" t="s">
        <v>274</v>
      </c>
      <c r="F14" s="12" t="s">
        <v>383</v>
      </c>
      <c r="G14" s="11" t="s">
        <v>269</v>
      </c>
      <c r="H14" s="11" t="s">
        <v>251</v>
      </c>
      <c r="I14" s="13">
        <v>46274</v>
      </c>
      <c r="J14" s="12" t="s">
        <v>384</v>
      </c>
    </row>
  </sheetData>
  <mergeCells count="2">
    <mergeCell ref="A1:J1"/>
    <mergeCell ref="A2:J2"/>
  </mergeCells>
  <dataValidations count="1">
    <dataValidation type="list" allowBlank="1" sqref="G5:G14" xr:uid="{00000000-0002-0000-0700-000000000000}">
      <formula1>"Pass,Fail,Partial"</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4"/>
  <sheetViews>
    <sheetView showGridLines="0" zoomScale="90" zoomScaleNormal="90" workbookViewId="0">
      <pane ySplit="4" topLeftCell="A5" activePane="bottomLeft" state="frozen"/>
      <selection pane="bottomLeft" activeCell="L6" sqref="L6"/>
    </sheetView>
  </sheetViews>
  <sheetFormatPr defaultColWidth="8.6640625" defaultRowHeight="14.4" x14ac:dyDescent="0.3"/>
  <cols>
    <col min="1" max="1" width="12" customWidth="1"/>
    <col min="2" max="2" width="14" customWidth="1"/>
    <col min="3" max="3" width="26" customWidth="1"/>
    <col min="4" max="4" width="18" customWidth="1"/>
    <col min="5" max="5" width="30" customWidth="1"/>
    <col min="6" max="6" width="18" customWidth="1"/>
    <col min="7" max="8" width="26" customWidth="1"/>
    <col min="9" max="9" width="10" customWidth="1"/>
    <col min="10" max="10" width="14" customWidth="1"/>
    <col min="11" max="11" width="12" customWidth="1"/>
    <col min="12" max="12" width="22" customWidth="1"/>
  </cols>
  <sheetData>
    <row r="1" spans="1:12" ht="17.399999999999999" x14ac:dyDescent="0.3">
      <c r="A1" s="19" t="s">
        <v>20</v>
      </c>
      <c r="B1" s="19"/>
      <c r="C1" s="19"/>
      <c r="D1" s="19"/>
      <c r="E1" s="19"/>
      <c r="F1" s="19"/>
      <c r="G1" s="19"/>
      <c r="H1" s="19"/>
      <c r="I1" s="19"/>
      <c r="J1" s="19"/>
      <c r="K1" s="19"/>
      <c r="L1" s="19"/>
    </row>
    <row r="2" spans="1:12" x14ac:dyDescent="0.3">
      <c r="A2" s="20" t="s">
        <v>235</v>
      </c>
      <c r="B2" s="20"/>
      <c r="C2" s="20"/>
      <c r="D2" s="20"/>
      <c r="E2" s="20"/>
      <c r="F2" s="20"/>
      <c r="G2" s="20"/>
      <c r="H2" s="20"/>
      <c r="I2" s="20"/>
      <c r="J2" s="20"/>
      <c r="K2" s="20"/>
      <c r="L2" s="20"/>
    </row>
    <row r="4" spans="1:12" ht="30" customHeight="1" x14ac:dyDescent="0.3">
      <c r="A4" s="1" t="s">
        <v>25</v>
      </c>
      <c r="B4" s="1" t="s">
        <v>26</v>
      </c>
      <c r="C4" s="1" t="s">
        <v>27</v>
      </c>
      <c r="D4" s="1" t="s">
        <v>28</v>
      </c>
      <c r="E4" s="1" t="s">
        <v>29</v>
      </c>
      <c r="F4" s="1" t="s">
        <v>30</v>
      </c>
      <c r="G4" s="1" t="s">
        <v>31</v>
      </c>
      <c r="H4" s="1" t="s">
        <v>32</v>
      </c>
      <c r="I4" s="1" t="s">
        <v>33</v>
      </c>
      <c r="J4" s="1" t="s">
        <v>34</v>
      </c>
      <c r="K4" s="1" t="s">
        <v>35</v>
      </c>
      <c r="L4" s="1" t="s">
        <v>36</v>
      </c>
    </row>
    <row r="5" spans="1:12" ht="60" customHeight="1" x14ac:dyDescent="0.3">
      <c r="A5" s="8" t="s">
        <v>171</v>
      </c>
      <c r="B5" s="8" t="s">
        <v>172</v>
      </c>
      <c r="C5" s="9" t="s">
        <v>173</v>
      </c>
      <c r="D5" s="9" t="s">
        <v>174</v>
      </c>
      <c r="E5" s="9" t="s">
        <v>175</v>
      </c>
      <c r="F5" s="9" t="s">
        <v>158</v>
      </c>
      <c r="G5" s="9" t="s">
        <v>176</v>
      </c>
      <c r="H5" s="12" t="s">
        <v>307</v>
      </c>
      <c r="I5" s="11" t="s">
        <v>244</v>
      </c>
      <c r="J5" s="11" t="s">
        <v>238</v>
      </c>
      <c r="K5" s="11" t="s">
        <v>308</v>
      </c>
      <c r="L5" s="12" t="s">
        <v>309</v>
      </c>
    </row>
    <row r="6" spans="1:12" ht="60" customHeight="1" x14ac:dyDescent="0.3">
      <c r="A6" s="8" t="s">
        <v>177</v>
      </c>
      <c r="B6" s="8" t="s">
        <v>172</v>
      </c>
      <c r="C6" s="9" t="s">
        <v>178</v>
      </c>
      <c r="D6" s="9" t="s">
        <v>179</v>
      </c>
      <c r="E6" s="9" t="s">
        <v>180</v>
      </c>
      <c r="F6" s="9" t="s">
        <v>158</v>
      </c>
      <c r="G6" s="9" t="s">
        <v>181</v>
      </c>
      <c r="H6" s="12" t="s">
        <v>310</v>
      </c>
      <c r="I6" s="11" t="s">
        <v>244</v>
      </c>
      <c r="J6" s="11" t="s">
        <v>238</v>
      </c>
      <c r="K6" s="11" t="s">
        <v>308</v>
      </c>
      <c r="L6" s="12" t="s">
        <v>311</v>
      </c>
    </row>
    <row r="7" spans="1:12" ht="60" customHeight="1" x14ac:dyDescent="0.3">
      <c r="A7" s="8" t="s">
        <v>182</v>
      </c>
      <c r="B7" s="8" t="s">
        <v>172</v>
      </c>
      <c r="C7" s="9" t="s">
        <v>183</v>
      </c>
      <c r="D7" s="9" t="s">
        <v>184</v>
      </c>
      <c r="E7" s="9" t="s">
        <v>185</v>
      </c>
      <c r="F7" s="9" t="s">
        <v>158</v>
      </c>
      <c r="G7" s="9" t="s">
        <v>186</v>
      </c>
      <c r="H7" s="12" t="s">
        <v>312</v>
      </c>
      <c r="I7" s="11" t="s">
        <v>244</v>
      </c>
      <c r="J7" s="11" t="s">
        <v>277</v>
      </c>
      <c r="K7" s="11" t="s">
        <v>308</v>
      </c>
      <c r="L7" s="12" t="s">
        <v>313</v>
      </c>
    </row>
    <row r="8" spans="1:12" ht="60" customHeight="1" x14ac:dyDescent="0.3">
      <c r="A8" s="8" t="s">
        <v>187</v>
      </c>
      <c r="B8" s="8" t="s">
        <v>188</v>
      </c>
      <c r="C8" s="9" t="s">
        <v>189</v>
      </c>
      <c r="D8" s="9" t="s">
        <v>190</v>
      </c>
      <c r="E8" s="9" t="s">
        <v>191</v>
      </c>
      <c r="F8" s="9" t="s">
        <v>158</v>
      </c>
      <c r="G8" s="9" t="s">
        <v>192</v>
      </c>
      <c r="H8" s="12" t="s">
        <v>314</v>
      </c>
      <c r="I8" s="11" t="s">
        <v>244</v>
      </c>
      <c r="J8" s="11" t="s">
        <v>277</v>
      </c>
      <c r="K8" s="11" t="s">
        <v>308</v>
      </c>
      <c r="L8" s="12" t="s">
        <v>315</v>
      </c>
    </row>
    <row r="9" spans="1:12" ht="39.75" customHeight="1" x14ac:dyDescent="0.3">
      <c r="A9" s="10"/>
      <c r="B9" s="10"/>
      <c r="C9" s="10"/>
      <c r="D9" s="10"/>
      <c r="E9" s="10"/>
      <c r="F9" s="10"/>
      <c r="G9" s="10"/>
      <c r="H9" s="15"/>
      <c r="I9" s="15"/>
      <c r="J9" s="15"/>
      <c r="K9" s="15"/>
      <c r="L9" s="15"/>
    </row>
    <row r="10" spans="1:12" ht="39.75" customHeight="1" x14ac:dyDescent="0.3">
      <c r="A10" s="10"/>
      <c r="B10" s="10"/>
      <c r="C10" s="10"/>
      <c r="D10" s="10"/>
      <c r="E10" s="10"/>
      <c r="F10" s="10"/>
      <c r="G10" s="10"/>
      <c r="H10" s="15"/>
      <c r="I10" s="15"/>
      <c r="J10" s="15"/>
      <c r="K10" s="15"/>
      <c r="L10" s="15"/>
    </row>
    <row r="11" spans="1:12" ht="39.75" customHeight="1" x14ac:dyDescent="0.3">
      <c r="A11" s="10"/>
      <c r="B11" s="10"/>
      <c r="C11" s="10"/>
      <c r="D11" s="10"/>
      <c r="E11" s="10"/>
      <c r="F11" s="10"/>
      <c r="G11" s="10"/>
      <c r="H11" s="15"/>
      <c r="I11" s="15"/>
      <c r="J11" s="15"/>
      <c r="K11" s="15"/>
      <c r="L11" s="15"/>
    </row>
    <row r="12" spans="1:12" ht="39.75" customHeight="1" x14ac:dyDescent="0.3">
      <c r="A12" s="10"/>
      <c r="B12" s="10"/>
      <c r="C12" s="10"/>
      <c r="D12" s="10"/>
      <c r="E12" s="10"/>
      <c r="F12" s="10"/>
      <c r="G12" s="10"/>
      <c r="H12" s="15"/>
      <c r="I12" s="15"/>
      <c r="J12" s="15"/>
      <c r="K12" s="15"/>
      <c r="L12" s="15"/>
    </row>
    <row r="13" spans="1:12" ht="39.75" customHeight="1" x14ac:dyDescent="0.3">
      <c r="A13" s="10"/>
      <c r="B13" s="10"/>
      <c r="C13" s="10"/>
      <c r="D13" s="10"/>
      <c r="E13" s="10"/>
      <c r="F13" s="10"/>
      <c r="G13" s="10"/>
      <c r="H13" s="15"/>
      <c r="I13" s="15"/>
      <c r="J13" s="15"/>
      <c r="K13" s="15"/>
      <c r="L13" s="15"/>
    </row>
    <row r="14" spans="1:12" ht="39.75" customHeight="1" x14ac:dyDescent="0.3">
      <c r="A14" s="10"/>
      <c r="B14" s="10"/>
      <c r="C14" s="10"/>
      <c r="D14" s="10"/>
      <c r="E14" s="10"/>
      <c r="F14" s="10"/>
      <c r="G14" s="10"/>
      <c r="H14" s="15"/>
      <c r="I14" s="15"/>
      <c r="J14" s="15"/>
      <c r="K14" s="15"/>
      <c r="L14" s="15"/>
    </row>
  </sheetData>
  <mergeCells count="2">
    <mergeCell ref="A1:L1"/>
    <mergeCell ref="A2:L2"/>
  </mergeCells>
  <dataValidations count="1">
    <dataValidation type="list" allowBlank="1" sqref="I5:I14" xr:uid="{00000000-0002-0000-0800-000000000000}">
      <formula1>"Pass,Fail,Not Tested"</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4"/>
  <sheetViews>
    <sheetView showGridLines="0" zoomScale="90" zoomScaleNormal="90" workbookViewId="0">
      <pane ySplit="4" topLeftCell="A5" activePane="bottomLeft" state="frozen"/>
      <selection pane="bottomLeft" activeCell="L8" sqref="L8"/>
    </sheetView>
  </sheetViews>
  <sheetFormatPr defaultColWidth="8.6640625" defaultRowHeight="14.4" x14ac:dyDescent="0.3"/>
  <cols>
    <col min="1" max="1" width="12" customWidth="1"/>
    <col min="2" max="2" width="14" customWidth="1"/>
    <col min="3" max="3" width="26" customWidth="1"/>
    <col min="4" max="4" width="18" customWidth="1"/>
    <col min="5" max="5" width="30" customWidth="1"/>
    <col min="6" max="6" width="18" customWidth="1"/>
    <col min="7" max="8" width="26" customWidth="1"/>
    <col min="9" max="9" width="10" customWidth="1"/>
    <col min="10" max="10" width="14" customWidth="1"/>
    <col min="11" max="11" width="12" customWidth="1"/>
    <col min="12" max="12" width="22" customWidth="1"/>
  </cols>
  <sheetData>
    <row r="1" spans="1:12" ht="17.399999999999999" x14ac:dyDescent="0.3">
      <c r="A1" s="19" t="s">
        <v>21</v>
      </c>
      <c r="B1" s="19"/>
      <c r="C1" s="19"/>
      <c r="D1" s="19"/>
      <c r="E1" s="19"/>
      <c r="F1" s="19"/>
      <c r="G1" s="19"/>
      <c r="H1" s="19"/>
      <c r="I1" s="19"/>
      <c r="J1" s="19"/>
      <c r="K1" s="19"/>
      <c r="L1" s="19"/>
    </row>
    <row r="2" spans="1:12" x14ac:dyDescent="0.3">
      <c r="A2" s="20" t="s">
        <v>236</v>
      </c>
      <c r="B2" s="20"/>
      <c r="C2" s="20"/>
      <c r="D2" s="20"/>
      <c r="E2" s="20"/>
      <c r="F2" s="20"/>
      <c r="G2" s="20"/>
      <c r="H2" s="20"/>
      <c r="I2" s="20"/>
      <c r="J2" s="20"/>
      <c r="K2" s="20"/>
      <c r="L2" s="20"/>
    </row>
    <row r="4" spans="1:12" ht="30" customHeight="1" x14ac:dyDescent="0.3">
      <c r="A4" s="1" t="s">
        <v>25</v>
      </c>
      <c r="B4" s="1" t="s">
        <v>26</v>
      </c>
      <c r="C4" s="1" t="s">
        <v>27</v>
      </c>
      <c r="D4" s="1" t="s">
        <v>28</v>
      </c>
      <c r="E4" s="1" t="s">
        <v>29</v>
      </c>
      <c r="F4" s="1" t="s">
        <v>30</v>
      </c>
      <c r="G4" s="1" t="s">
        <v>31</v>
      </c>
      <c r="H4" s="1" t="s">
        <v>32</v>
      </c>
      <c r="I4" s="1" t="s">
        <v>33</v>
      </c>
      <c r="J4" s="1" t="s">
        <v>34</v>
      </c>
      <c r="K4" s="1" t="s">
        <v>35</v>
      </c>
      <c r="L4" s="1" t="s">
        <v>36</v>
      </c>
    </row>
    <row r="5" spans="1:12" ht="60" customHeight="1" x14ac:dyDescent="0.3">
      <c r="A5" s="8" t="s">
        <v>193</v>
      </c>
      <c r="B5" s="8" t="s">
        <v>154</v>
      </c>
      <c r="C5" s="9" t="s">
        <v>194</v>
      </c>
      <c r="D5" s="9" t="s">
        <v>195</v>
      </c>
      <c r="E5" s="9" t="s">
        <v>196</v>
      </c>
      <c r="F5" s="9" t="s">
        <v>158</v>
      </c>
      <c r="G5" s="9" t="s">
        <v>197</v>
      </c>
      <c r="H5" s="12" t="s">
        <v>316</v>
      </c>
      <c r="I5" s="11" t="s">
        <v>244</v>
      </c>
      <c r="J5" s="11" t="s">
        <v>251</v>
      </c>
      <c r="K5" s="11" t="s">
        <v>308</v>
      </c>
      <c r="L5" s="12" t="s">
        <v>317</v>
      </c>
    </row>
    <row r="6" spans="1:12" ht="60" customHeight="1" x14ac:dyDescent="0.3">
      <c r="A6" s="8" t="s">
        <v>198</v>
      </c>
      <c r="B6" s="8" t="s">
        <v>154</v>
      </c>
      <c r="C6" s="9" t="s">
        <v>199</v>
      </c>
      <c r="D6" s="9" t="s">
        <v>200</v>
      </c>
      <c r="E6" s="9" t="s">
        <v>201</v>
      </c>
      <c r="F6" s="9" t="s">
        <v>158</v>
      </c>
      <c r="G6" s="9" t="s">
        <v>202</v>
      </c>
      <c r="H6" s="12" t="s">
        <v>318</v>
      </c>
      <c r="I6" s="11" t="s">
        <v>244</v>
      </c>
      <c r="J6" s="11" t="s">
        <v>251</v>
      </c>
      <c r="K6" s="11" t="s">
        <v>308</v>
      </c>
      <c r="L6" s="12" t="s">
        <v>319</v>
      </c>
    </row>
    <row r="7" spans="1:12" ht="60" customHeight="1" x14ac:dyDescent="0.3">
      <c r="A7" s="8" t="s">
        <v>203</v>
      </c>
      <c r="B7" s="8" t="s">
        <v>204</v>
      </c>
      <c r="C7" s="9" t="s">
        <v>205</v>
      </c>
      <c r="D7" s="9" t="s">
        <v>206</v>
      </c>
      <c r="E7" s="9" t="s">
        <v>207</v>
      </c>
      <c r="F7" s="9" t="s">
        <v>158</v>
      </c>
      <c r="G7" s="9" t="s">
        <v>208</v>
      </c>
      <c r="H7" s="12" t="s">
        <v>320</v>
      </c>
      <c r="I7" s="11" t="s">
        <v>244</v>
      </c>
      <c r="J7" s="11" t="s">
        <v>294</v>
      </c>
      <c r="K7" s="11" t="s">
        <v>308</v>
      </c>
      <c r="L7" s="12" t="s">
        <v>321</v>
      </c>
    </row>
    <row r="8" spans="1:12" ht="60" customHeight="1" x14ac:dyDescent="0.3">
      <c r="A8" s="8" t="s">
        <v>209</v>
      </c>
      <c r="B8" s="8" t="s">
        <v>210</v>
      </c>
      <c r="C8" s="9" t="s">
        <v>211</v>
      </c>
      <c r="D8" s="9" t="s">
        <v>212</v>
      </c>
      <c r="E8" s="9" t="s">
        <v>213</v>
      </c>
      <c r="F8" s="9" t="s">
        <v>158</v>
      </c>
      <c r="G8" s="9" t="s">
        <v>214</v>
      </c>
      <c r="H8" s="12" t="s">
        <v>322</v>
      </c>
      <c r="I8" s="11" t="s">
        <v>244</v>
      </c>
      <c r="J8" s="11" t="s">
        <v>294</v>
      </c>
      <c r="K8" s="11" t="s">
        <v>308</v>
      </c>
      <c r="L8" s="12" t="s">
        <v>323</v>
      </c>
    </row>
    <row r="9" spans="1:12" ht="39.75" customHeight="1" x14ac:dyDescent="0.3">
      <c r="A9" s="10"/>
      <c r="B9" s="10"/>
      <c r="C9" s="10"/>
      <c r="D9" s="10"/>
      <c r="E9" s="10"/>
      <c r="F9" s="10"/>
      <c r="G9" s="10"/>
      <c r="H9" s="15"/>
      <c r="I9" s="15"/>
      <c r="J9" s="15"/>
      <c r="K9" s="15"/>
      <c r="L9" s="15"/>
    </row>
    <row r="10" spans="1:12" ht="39.75" customHeight="1" x14ac:dyDescent="0.3">
      <c r="A10" s="10"/>
      <c r="B10" s="10"/>
      <c r="C10" s="10"/>
      <c r="D10" s="10"/>
      <c r="E10" s="10"/>
      <c r="F10" s="10"/>
      <c r="G10" s="10"/>
      <c r="H10" s="15"/>
      <c r="I10" s="15"/>
      <c r="J10" s="15"/>
      <c r="K10" s="15"/>
      <c r="L10" s="15"/>
    </row>
    <row r="11" spans="1:12" ht="39.75" customHeight="1" x14ac:dyDescent="0.3">
      <c r="A11" s="10"/>
      <c r="B11" s="10"/>
      <c r="C11" s="10"/>
      <c r="D11" s="10"/>
      <c r="E11" s="10"/>
      <c r="F11" s="10"/>
      <c r="G11" s="10"/>
      <c r="H11" s="15"/>
      <c r="I11" s="15"/>
      <c r="J11" s="15"/>
      <c r="K11" s="15"/>
      <c r="L11" s="15"/>
    </row>
    <row r="12" spans="1:12" ht="39.75" customHeight="1" x14ac:dyDescent="0.3">
      <c r="A12" s="10"/>
      <c r="B12" s="10"/>
      <c r="C12" s="10"/>
      <c r="D12" s="10"/>
      <c r="E12" s="10"/>
      <c r="F12" s="10"/>
      <c r="G12" s="10"/>
      <c r="H12" s="15"/>
      <c r="I12" s="15"/>
      <c r="J12" s="15"/>
      <c r="K12" s="15"/>
      <c r="L12" s="15"/>
    </row>
    <row r="13" spans="1:12" ht="39.75" customHeight="1" x14ac:dyDescent="0.3">
      <c r="A13" s="10"/>
      <c r="B13" s="10"/>
      <c r="C13" s="10"/>
      <c r="D13" s="10"/>
      <c r="E13" s="10"/>
      <c r="F13" s="10"/>
      <c r="G13" s="10"/>
      <c r="H13" s="15"/>
      <c r="I13" s="15"/>
      <c r="J13" s="15"/>
      <c r="K13" s="15"/>
      <c r="L13" s="15"/>
    </row>
    <row r="14" spans="1:12" ht="39.75" customHeight="1" x14ac:dyDescent="0.3">
      <c r="A14" s="10"/>
      <c r="B14" s="10"/>
      <c r="C14" s="10"/>
      <c r="D14" s="10"/>
      <c r="E14" s="10"/>
      <c r="F14" s="10"/>
      <c r="G14" s="10"/>
      <c r="H14" s="15"/>
      <c r="I14" s="15"/>
      <c r="J14" s="15"/>
      <c r="K14" s="15"/>
      <c r="L14" s="15"/>
    </row>
  </sheetData>
  <mergeCells count="2">
    <mergeCell ref="A1:L1"/>
    <mergeCell ref="A2:L2"/>
  </mergeCells>
  <dataValidations count="1">
    <dataValidation type="list" allowBlank="1" sqref="I5:I14" xr:uid="{00000000-0002-0000-0900-000000000000}">
      <formula1>"Pass,Fail,Not Tested"</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4"/>
  <sheetViews>
    <sheetView showGridLines="0" zoomScale="60" zoomScaleNormal="60" workbookViewId="0">
      <pane ySplit="4" topLeftCell="A5" activePane="bottomLeft" state="frozen"/>
      <selection pane="bottomLeft" activeCell="F12" sqref="F12"/>
    </sheetView>
  </sheetViews>
  <sheetFormatPr defaultColWidth="8.6640625" defaultRowHeight="14.4" x14ac:dyDescent="0.3"/>
  <cols>
    <col min="1" max="1" width="12" customWidth="1"/>
    <col min="2" max="2" width="24" customWidth="1"/>
    <col min="3" max="3" width="20" customWidth="1"/>
    <col min="4" max="4" width="30" customWidth="1"/>
    <col min="5" max="6" width="26" customWidth="1"/>
    <col min="7" max="7" width="10" customWidth="1"/>
    <col min="8" max="8" width="14" customWidth="1"/>
    <col min="9" max="9" width="12" customWidth="1"/>
    <col min="10" max="10" width="24" customWidth="1"/>
  </cols>
  <sheetData>
    <row r="1" spans="1:10" ht="17.399999999999999" x14ac:dyDescent="0.3">
      <c r="A1" s="19" t="s">
        <v>22</v>
      </c>
      <c r="B1" s="19"/>
      <c r="C1" s="19"/>
      <c r="D1" s="19"/>
      <c r="E1" s="19"/>
      <c r="F1" s="19"/>
      <c r="G1" s="19"/>
      <c r="H1" s="19"/>
      <c r="I1" s="19"/>
      <c r="J1" s="19"/>
    </row>
    <row r="2" spans="1:10" x14ac:dyDescent="0.3">
      <c r="A2" s="20" t="s">
        <v>237</v>
      </c>
      <c r="B2" s="20"/>
      <c r="C2" s="20"/>
      <c r="D2" s="20"/>
      <c r="E2" s="20"/>
      <c r="F2" s="20"/>
      <c r="G2" s="20"/>
      <c r="H2" s="20"/>
      <c r="I2" s="20"/>
      <c r="J2" s="20"/>
    </row>
    <row r="4" spans="1:10" ht="30" customHeight="1" x14ac:dyDescent="0.3">
      <c r="A4" s="1" t="s">
        <v>25</v>
      </c>
      <c r="B4" s="1" t="s">
        <v>64</v>
      </c>
      <c r="C4" s="1" t="s">
        <v>65</v>
      </c>
      <c r="D4" s="1" t="s">
        <v>66</v>
      </c>
      <c r="E4" s="1" t="s">
        <v>67</v>
      </c>
      <c r="F4" s="1" t="s">
        <v>68</v>
      </c>
      <c r="G4" s="1" t="s">
        <v>33</v>
      </c>
      <c r="H4" s="1" t="s">
        <v>34</v>
      </c>
      <c r="I4" s="1" t="s">
        <v>35</v>
      </c>
      <c r="J4" s="1" t="s">
        <v>69</v>
      </c>
    </row>
    <row r="5" spans="1:10" ht="49.5" customHeight="1" x14ac:dyDescent="0.3">
      <c r="A5" s="8" t="s">
        <v>215</v>
      </c>
      <c r="B5" s="9" t="s">
        <v>71</v>
      </c>
      <c r="C5" s="9" t="s">
        <v>216</v>
      </c>
      <c r="D5" s="9" t="s">
        <v>385</v>
      </c>
      <c r="E5" s="9" t="s">
        <v>274</v>
      </c>
      <c r="F5" s="12" t="s">
        <v>250</v>
      </c>
      <c r="G5" s="11" t="s">
        <v>244</v>
      </c>
      <c r="H5" s="11" t="s">
        <v>251</v>
      </c>
      <c r="I5" s="13">
        <v>46277</v>
      </c>
      <c r="J5" s="12" t="s">
        <v>324</v>
      </c>
    </row>
    <row r="6" spans="1:10" ht="49.5" customHeight="1" x14ac:dyDescent="0.3">
      <c r="A6" s="8" t="s">
        <v>217</v>
      </c>
      <c r="B6" s="9" t="s">
        <v>74</v>
      </c>
      <c r="C6" s="9" t="s">
        <v>216</v>
      </c>
      <c r="D6" s="26" t="s">
        <v>385</v>
      </c>
      <c r="E6" s="26" t="s">
        <v>274</v>
      </c>
      <c r="F6" s="12" t="s">
        <v>260</v>
      </c>
      <c r="G6" s="11" t="s">
        <v>244</v>
      </c>
      <c r="H6" s="11" t="s">
        <v>238</v>
      </c>
      <c r="I6" s="13">
        <v>46277</v>
      </c>
      <c r="J6" s="12" t="s">
        <v>252</v>
      </c>
    </row>
    <row r="7" spans="1:10" ht="49.5" customHeight="1" x14ac:dyDescent="0.3">
      <c r="A7" s="8" t="s">
        <v>218</v>
      </c>
      <c r="B7" s="9" t="s">
        <v>76</v>
      </c>
      <c r="C7" s="9" t="s">
        <v>216</v>
      </c>
      <c r="D7" s="26" t="s">
        <v>385</v>
      </c>
      <c r="E7" s="26" t="s">
        <v>274</v>
      </c>
      <c r="F7" s="12" t="s">
        <v>261</v>
      </c>
      <c r="G7" s="11" t="s">
        <v>269</v>
      </c>
      <c r="H7" s="11" t="s">
        <v>294</v>
      </c>
      <c r="I7" s="13">
        <v>46277</v>
      </c>
      <c r="J7" s="12" t="s">
        <v>325</v>
      </c>
    </row>
    <row r="8" spans="1:10" ht="49.5" customHeight="1" x14ac:dyDescent="0.3">
      <c r="A8" s="8" t="s">
        <v>219</v>
      </c>
      <c r="B8" s="9" t="s">
        <v>78</v>
      </c>
      <c r="C8" s="9" t="s">
        <v>216</v>
      </c>
      <c r="D8" s="26" t="s">
        <v>385</v>
      </c>
      <c r="E8" s="26" t="s">
        <v>274</v>
      </c>
      <c r="F8" s="12" t="s">
        <v>262</v>
      </c>
      <c r="G8" s="11" t="s">
        <v>244</v>
      </c>
      <c r="H8" s="11" t="s">
        <v>277</v>
      </c>
      <c r="I8" s="13">
        <v>46277</v>
      </c>
      <c r="J8" s="12" t="s">
        <v>253</v>
      </c>
    </row>
    <row r="9" spans="1:10" ht="49.5" customHeight="1" x14ac:dyDescent="0.3">
      <c r="A9" s="8" t="s">
        <v>220</v>
      </c>
      <c r="B9" s="9" t="s">
        <v>80</v>
      </c>
      <c r="C9" s="9" t="s">
        <v>216</v>
      </c>
      <c r="D9" s="26" t="s">
        <v>385</v>
      </c>
      <c r="E9" s="26" t="s">
        <v>274</v>
      </c>
      <c r="F9" s="12" t="s">
        <v>263</v>
      </c>
      <c r="G9" s="11" t="s">
        <v>269</v>
      </c>
      <c r="H9" s="11" t="s">
        <v>251</v>
      </c>
      <c r="I9" s="13">
        <v>46277</v>
      </c>
      <c r="J9" s="12" t="s">
        <v>254</v>
      </c>
    </row>
    <row r="10" spans="1:10" ht="49.5" customHeight="1" x14ac:dyDescent="0.3">
      <c r="A10" s="8" t="s">
        <v>221</v>
      </c>
      <c r="B10" s="9" t="s">
        <v>82</v>
      </c>
      <c r="C10" s="9" t="s">
        <v>216</v>
      </c>
      <c r="D10" s="26" t="s">
        <v>385</v>
      </c>
      <c r="E10" s="26" t="s">
        <v>274</v>
      </c>
      <c r="F10" s="12" t="s">
        <v>264</v>
      </c>
      <c r="G10" s="11" t="s">
        <v>244</v>
      </c>
      <c r="H10" s="11" t="s">
        <v>277</v>
      </c>
      <c r="I10" s="13">
        <v>46277</v>
      </c>
      <c r="J10" s="12" t="s">
        <v>255</v>
      </c>
    </row>
    <row r="11" spans="1:10" ht="49.5" customHeight="1" x14ac:dyDescent="0.3">
      <c r="A11" s="8" t="s">
        <v>222</v>
      </c>
      <c r="B11" s="9" t="s">
        <v>84</v>
      </c>
      <c r="C11" s="9" t="s">
        <v>216</v>
      </c>
      <c r="D11" s="26" t="s">
        <v>385</v>
      </c>
      <c r="E11" s="26" t="s">
        <v>274</v>
      </c>
      <c r="F11" s="12" t="s">
        <v>265</v>
      </c>
      <c r="G11" s="11" t="s">
        <v>269</v>
      </c>
      <c r="H11" s="11" t="s">
        <v>238</v>
      </c>
      <c r="I11" s="13">
        <v>46277</v>
      </c>
      <c r="J11" s="12" t="s">
        <v>256</v>
      </c>
    </row>
    <row r="12" spans="1:10" ht="49.5" customHeight="1" x14ac:dyDescent="0.3">
      <c r="A12" s="8" t="s">
        <v>223</v>
      </c>
      <c r="B12" s="9" t="s">
        <v>86</v>
      </c>
      <c r="C12" s="9" t="s">
        <v>216</v>
      </c>
      <c r="D12" s="26" t="s">
        <v>385</v>
      </c>
      <c r="E12" s="26" t="s">
        <v>274</v>
      </c>
      <c r="F12" s="12" t="s">
        <v>266</v>
      </c>
      <c r="G12" s="11" t="s">
        <v>244</v>
      </c>
      <c r="H12" s="11" t="s">
        <v>294</v>
      </c>
      <c r="I12" s="13">
        <v>46277</v>
      </c>
      <c r="J12" s="12" t="s">
        <v>257</v>
      </c>
    </row>
    <row r="13" spans="1:10" ht="49.5" customHeight="1" x14ac:dyDescent="0.3">
      <c r="A13" s="8" t="s">
        <v>224</v>
      </c>
      <c r="B13" s="9" t="s">
        <v>88</v>
      </c>
      <c r="C13" s="9" t="s">
        <v>216</v>
      </c>
      <c r="D13" s="26" t="s">
        <v>385</v>
      </c>
      <c r="E13" s="26" t="s">
        <v>274</v>
      </c>
      <c r="F13" s="12" t="s">
        <v>267</v>
      </c>
      <c r="G13" s="11" t="s">
        <v>244</v>
      </c>
      <c r="H13" s="11" t="s">
        <v>238</v>
      </c>
      <c r="I13" s="13">
        <v>46277</v>
      </c>
      <c r="J13" s="12" t="s">
        <v>258</v>
      </c>
    </row>
    <row r="14" spans="1:10" ht="49.5" customHeight="1" x14ac:dyDescent="0.3">
      <c r="A14" s="8" t="s">
        <v>225</v>
      </c>
      <c r="B14" s="9" t="s">
        <v>90</v>
      </c>
      <c r="C14" s="9" t="s">
        <v>216</v>
      </c>
      <c r="D14" s="26" t="s">
        <v>385</v>
      </c>
      <c r="E14" s="26" t="s">
        <v>274</v>
      </c>
      <c r="F14" s="12" t="s">
        <v>268</v>
      </c>
      <c r="G14" s="11" t="s">
        <v>244</v>
      </c>
      <c r="H14" s="11" t="s">
        <v>294</v>
      </c>
      <c r="I14" s="13">
        <v>46277</v>
      </c>
      <c r="J14" s="12" t="s">
        <v>259</v>
      </c>
    </row>
  </sheetData>
  <mergeCells count="2">
    <mergeCell ref="A1:J1"/>
    <mergeCell ref="A2:J2"/>
  </mergeCells>
  <dataValidations count="1">
    <dataValidation type="list" allowBlank="1" sqref="G5:G14" xr:uid="{00000000-0002-0000-0A00-000000000000}">
      <formula1>"Pass,Fail,Partial"</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Results Summary</vt:lpstr>
      <vt:lpstr>Iteration 1 Unit</vt:lpstr>
      <vt:lpstr>Iteration 1 Usability</vt:lpstr>
      <vt:lpstr>Iteration 2 Unit</vt:lpstr>
      <vt:lpstr>Iteration 2 Usability</vt:lpstr>
      <vt:lpstr>Iteration 3 Unit</vt:lpstr>
      <vt:lpstr>Iteration 3 Usability</vt:lpstr>
      <vt:lpstr>System Test - Functionality</vt:lpstr>
      <vt:lpstr>System Test - Performance</vt:lpstr>
      <vt:lpstr>System Test - Usability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Katlego Mosoma</cp:lastModifiedBy>
  <cp:revision>0</cp:revision>
  <dcterms:created xsi:type="dcterms:W3CDTF">2026-09-01T22:09:23Z</dcterms:created>
  <dcterms:modified xsi:type="dcterms:W3CDTF">2026-09-13T17:29:23Z</dcterms:modified>
  <dc:language>en-US</dc:language>
</cp:coreProperties>
</file>